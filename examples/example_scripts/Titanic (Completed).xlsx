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.xleda\examples\example_scripts\"/>
    </mc:Choice>
  </mc:AlternateContent>
  <xr:revisionPtr revIDLastSave="0" documentId="8_{79C20861-9DC6-412A-8077-9EFB1D6FB13E}" xr6:coauthVersionLast="47" xr6:coauthVersionMax="47" xr10:uidLastSave="{00000000-0000-0000-0000-000000000000}"/>
  <bookViews>
    <workbookView xWindow="1152" yWindow="1152" windowWidth="17280" windowHeight="8880" activeTab="1" xr2:uid="{040F3586-419E-4585-8ACE-6588AD7C95BD}"/>
  </bookViews>
  <sheets>
    <sheet name="Overview" sheetId="27" r:id="rId1"/>
    <sheet name="Field Analysis" sheetId="25" r:id="rId2"/>
    <sheet name="Pivot" sheetId="28" r:id="rId3"/>
    <sheet name="SinglePlot" sheetId="30" state="hidden" r:id="rId4"/>
    <sheet name="MultiplePlots" sheetId="31" state="hidden" r:id="rId5"/>
  </sheets>
  <definedNames>
    <definedName name="Compiled_Lists">'Field Analysis'!$D$71:$D$80</definedName>
    <definedName name="Composition">'Field Analysis'!$D$25:$D$35</definedName>
    <definedName name="CompositionTable">'Field Analysis'!$E$34</definedName>
    <definedName name="DarkHeader">'Field Analysis'!$E$81</definedName>
    <definedName name="Data_Description">'Field Analysis'!$D$15:$D$22</definedName>
    <definedName name="DefaultWarn" localSheetId="2">Pivot!$C$7</definedName>
    <definedName name="Definitions">'Field Analysis'!$E$7:$S$7</definedName>
    <definedName name="Description">'Field Analysis'!$E$15</definedName>
    <definedName name="Dimensions">'Field Analysis'!$E$17</definedName>
    <definedName name="Field_Analysis">'Field Analysis'!$E$12:$E$80</definedName>
    <definedName name="Field_Lists">'Field Analysis'!$D$60:$D$68</definedName>
    <definedName name="Field_Notes">'Field Analysis'!$D$7:$D$10</definedName>
    <definedName name="FieldList1" localSheetId="4">#REF!</definedName>
    <definedName name="FieldList1" localSheetId="3">#REF!</definedName>
    <definedName name="FieldList1">'Field Analysis'!$E$60:$S$60</definedName>
    <definedName name="FieldList2" localSheetId="4">#REF!</definedName>
    <definedName name="FieldList2" localSheetId="3">#REF!</definedName>
    <definedName name="FieldList2">'Field Analysis'!$E$61:$S$61</definedName>
    <definedName name="FieldList3" localSheetId="4">#REF!</definedName>
    <definedName name="FieldList3" localSheetId="3">#REF!</definedName>
    <definedName name="FieldList3">'Field Analysis'!$E$62:$S$62</definedName>
    <definedName name="FieldList4" localSheetId="4">#REF!</definedName>
    <definedName name="FieldList4" localSheetId="3">#REF!</definedName>
    <definedName name="FieldList4">'Field Analysis'!$E$63:$S$63</definedName>
    <definedName name="FieldList5" localSheetId="4">#REF!</definedName>
    <definedName name="FieldList5" localSheetId="3">#REF!</definedName>
    <definedName name="FieldList5">'Field Analysis'!$E$64:$S$64</definedName>
    <definedName name="FieldList6" localSheetId="4">#REF!</definedName>
    <definedName name="FieldList6" localSheetId="3">#REF!</definedName>
    <definedName name="FieldList6">'Field Analysis'!$E$65:$S$65</definedName>
    <definedName name="FieldList7" localSheetId="4">#REF!</definedName>
    <definedName name="FieldList7" localSheetId="3">#REF!</definedName>
    <definedName name="FieldList7">'Field Analysis'!$E$66:$S$66</definedName>
    <definedName name="FieldList8" localSheetId="4">#REF!</definedName>
    <definedName name="FieldList8" localSheetId="3">#REF!</definedName>
    <definedName name="FieldList8">'Field Analysis'!$E$67:$S$67</definedName>
    <definedName name="FieldLists">'Field Analysis'!$D$60:$T$67</definedName>
    <definedName name="FieldRange" localSheetId="4">#REF!</definedName>
    <definedName name="FieldRange" localSheetId="3">#REF!</definedName>
    <definedName name="FieldRange">'Field Analysis'!$E$81:$S$81</definedName>
    <definedName name="FormatRange">'Field Analysis'!$G:$G</definedName>
    <definedName name="Headers">'Field Analysis'!$E$11:$S$11</definedName>
    <definedName name="Headers_Start">'Field Analysis'!$E$11</definedName>
    <definedName name="Histogram">'Field Analysis'!$E$44</definedName>
    <definedName name="LightHeader" localSheetId="4">#REF!</definedName>
    <definedName name="LightHeader" localSheetId="3">#REF!</definedName>
    <definedName name="LightHeader">'Field Analysis'!$D$81</definedName>
    <definedName name="Metadata">Overview!$C$4:$C$8</definedName>
    <definedName name="MultiplePlots" localSheetId="4">MultiplePlots!$D$9</definedName>
    <definedName name="MultiplePlotsTitle" localSheetId="4">MultiplePlots!$C$2</definedName>
    <definedName name="Name" localSheetId="4">#REF!</definedName>
    <definedName name="Name" localSheetId="3">#REF!</definedName>
    <definedName name="Name">'Field Analysis'!$C$3</definedName>
    <definedName name="Notes">'Field Analysis'!$E$9:$S$9</definedName>
    <definedName name="Percentiles">'Field Analysis'!$D$48:$D$57</definedName>
    <definedName name="RecordHashes">'Field Analysis'!$V$82:$V$972</definedName>
    <definedName name="SerializedLists">'Field Analysis'!$E$71:$E$80</definedName>
    <definedName name="SinglePlot" localSheetId="3">SinglePlot!$C$8</definedName>
    <definedName name="SinglePlotTitle" localSheetId="3">SinglePlot!$C$2</definedName>
    <definedName name="Summary_Stats">'Field Analysis'!$D$38:$D$45</definedName>
    <definedName name="Theme" localSheetId="1">'Field Analysis'!$C$11:$R$11</definedName>
    <definedName name="Theme" localSheetId="4">MultiplePlots!$B$6:$P$6</definedName>
    <definedName name="Theme" localSheetId="0">Overview!$B$10:$AA$10</definedName>
    <definedName name="Theme" localSheetId="2">Pivot!$B$4:$Q$4</definedName>
    <definedName name="Theme" localSheetId="3">SinglePlot!$B$6:$P$6</definedName>
    <definedName name="Toggles" localSheetId="4">#REF!,#REF!,#REF!,#REF!,#REF!,#REF!,#REF!</definedName>
    <definedName name="Toggles" localSheetId="3">#REF!,#REF!,#REF!,#REF!,#REF!,#REF!,#REF!</definedName>
    <definedName name="Toggles">'Field Analysis'!$C$5,'Field Analysis'!$C$13,'Field Analysis'!$C$23,'Field Analysis'!$C$36,'Field Analysis'!$C$46,'Field Analysis'!$C$58,'Field Analysis'!$C$69</definedName>
    <definedName name="TopToggle">'Field Analysis'!$B$3</definedName>
    <definedName name="Warning">'Field Analysis'!$D$1</definedName>
  </definedNames>
  <calcPr calcId="191029" iterateDelta="1E-4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7" l="1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E79" i="25" a="1"/>
  <c r="E79" i="25" s="1"/>
  <c r="D79" i="25"/>
  <c r="C2" i="28" l="1"/>
  <c r="B2" i="27"/>
  <c r="E78" i="25" a="1"/>
  <c r="E78" i="25" s="1"/>
  <c r="D78" i="25"/>
  <c r="E77" i="25" a="1"/>
  <c r="E77" i="25" s="1"/>
  <c r="D77" i="25"/>
  <c r="E76" i="25"/>
  <c r="D76" i="25"/>
  <c r="E75" i="25"/>
  <c r="D75" i="25"/>
  <c r="E74" i="25"/>
  <c r="D74" i="25"/>
  <c r="E73" i="25"/>
  <c r="D73" i="25"/>
  <c r="E72" i="25"/>
  <c r="D72" i="25"/>
  <c r="E71" i="25"/>
  <c r="D71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<sst xmlns="http://schemas.openxmlformats.org/spreadsheetml/2006/main" count="5796" uniqueCount="133">
  <si>
    <t>Warning</t>
  </si>
  <si>
    <t>▶</t>
  </si>
  <si>
    <t>Field Notes</t>
  </si>
  <si>
    <t>Definitions</t>
  </si>
  <si>
    <t>Notes</t>
  </si>
  <si>
    <t xml:space="preserve"> </t>
  </si>
  <si>
    <t>Data Description</t>
  </si>
  <si>
    <t>Rows</t>
  </si>
  <si>
    <t>Composition</t>
  </si>
  <si>
    <t>Data type</t>
  </si>
  <si>
    <t>Distinct %</t>
  </si>
  <si>
    <t>Missing %</t>
  </si>
  <si>
    <t>Memory Usage %</t>
  </si>
  <si>
    <t>Memory Usage</t>
  </si>
  <si>
    <t>Distinct</t>
  </si>
  <si>
    <t>Count</t>
  </si>
  <si>
    <t>Missing</t>
  </si>
  <si>
    <t>Summary Stats</t>
  </si>
  <si>
    <t>Mean</t>
  </si>
  <si>
    <t>Median</t>
  </si>
  <si>
    <t>Mode</t>
  </si>
  <si>
    <t>Standard Deviation</t>
  </si>
  <si>
    <t>Variance</t>
  </si>
  <si>
    <t>Percentiles</t>
  </si>
  <si>
    <t>Min</t>
  </si>
  <si>
    <t>Max</t>
  </si>
  <si>
    <t>Range</t>
  </si>
  <si>
    <t>IQR</t>
  </si>
  <si>
    <t>Field Lists</t>
  </si>
  <si>
    <t>FIeldList7</t>
  </si>
  <si>
    <t>FIeldList8</t>
  </si>
  <si>
    <t>Compiled Lists</t>
  </si>
  <si>
    <t>Record List</t>
  </si>
  <si>
    <t>HasBlank</t>
  </si>
  <si>
    <t>Field</t>
  </si>
  <si>
    <t>Definition</t>
  </si>
  <si>
    <t>Count %</t>
  </si>
  <si>
    <t>5%</t>
  </si>
  <si>
    <t>25%</t>
  </si>
  <si>
    <t>50%</t>
  </si>
  <si>
    <t>75%</t>
  </si>
  <si>
    <t>95%</t>
  </si>
  <si>
    <t>Has Blank %</t>
  </si>
  <si>
    <t>% of Total Blanks</t>
  </si>
  <si>
    <t>SinglePlotTitle</t>
  </si>
  <si>
    <t>MultiplePlotsTitle</t>
  </si>
  <si>
    <t>% of Records</t>
  </si>
  <si>
    <t>Columns</t>
  </si>
  <si>
    <t>Distinct Record %</t>
  </si>
  <si>
    <t>Missing Values %</t>
  </si>
  <si>
    <t>Titanic</t>
  </si>
  <si>
    <t>102,791 bytes</t>
  </si>
  <si>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</si>
  <si>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</si>
  <si>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</si>
  <si>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</si>
  <si>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</si>
  <si>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</si>
  <si>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</si>
  <si>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</si>
  <si>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</si>
  <si>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</si>
  <si>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</si>
  <si>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</si>
  <si>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</si>
  <si>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</si>
  <si>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</si>
  <si>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index</t>
  </si>
  <si>
    <t>Record Hash</t>
  </si>
  <si>
    <t>int64</t>
  </si>
  <si>
    <t>str</t>
  </si>
  <si>
    <t>float64</t>
  </si>
  <si>
    <t>category</t>
  </si>
  <si>
    <t>bool</t>
  </si>
  <si>
    <t>male</t>
  </si>
  <si>
    <t>S</t>
  </si>
  <si>
    <t>Third</t>
  </si>
  <si>
    <t>man</t>
  </si>
  <si>
    <t>C</t>
  </si>
  <si>
    <t>Southampton</t>
  </si>
  <si>
    <t>no</t>
  </si>
  <si>
    <t>female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</si>
  <si>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</si>
  <si>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</si>
  <si>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</si>
  <si>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</si>
  <si>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</si>
  <si>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</si>
  <si>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</si>
  <si>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</si>
  <si>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</si>
  <si>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</si>
  <si>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</si>
  <si>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</si>
  <si>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</si>
  <si>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</si>
  <si>
    <t>Pivots only show first 10 fields by default</t>
  </si>
  <si>
    <t>Grand Total</t>
  </si>
  <si>
    <t>Round Age</t>
  </si>
  <si>
    <t>0 = No, 1 = Yes</t>
  </si>
  <si>
    <t>1 = 1st Class (Upper), 2 = 2nd Class (Middle), 3 = 3rd Class (Lower)</t>
  </si>
  <si>
    <t>Male or Female</t>
  </si>
  <si>
    <t>Fractional values exist for infants; contains missing values</t>
  </si>
  <si>
    <t>Sibling: Brother, Sister, Stepbrother, Stepsister; Spouse: Husband, Wife</t>
  </si>
  <si>
    <t>Parent: Mother, Father; Child: Daughter, Son, Stepdaughter, Stepson</t>
  </si>
  <si>
    <t>British Pounds (\(£\)) paid for the ticket</t>
  </si>
  <si>
    <t>C = Cherbourg, Q = Queenstown, S = Southampton</t>
  </si>
  <si>
    <t>Combined gender/age</t>
  </si>
  <si>
    <t>Age bucket</t>
  </si>
  <si>
    <t>Too sparse, Remove</t>
  </si>
  <si>
    <t>Unencoded town of embarcation</t>
  </si>
  <si>
    <t>Unencoded target variable.  Redundant</t>
  </si>
  <si>
    <t>Survival status (Target variable)</t>
  </si>
  <si>
    <t>Ticket class (Proxy for socio-economic status)</t>
  </si>
  <si>
    <t>Gender</t>
  </si>
  <si>
    <t>Age in years</t>
  </si>
  <si>
    <t># of siblings/spouses aboard</t>
  </si>
  <si>
    <t># of parents/children aboard</t>
  </si>
  <si>
    <t>Passenger fare</t>
  </si>
  <si>
    <t>Port of Embarkation</t>
  </si>
  <si>
    <t>Text passenger class</t>
  </si>
  <si>
    <t>Type of person</t>
  </si>
  <si>
    <t>Was the passenger an adult</t>
  </si>
  <si>
    <t>Which deck they were on</t>
  </si>
  <si>
    <t>Text version of alive</t>
  </si>
  <si>
    <t>Was the passenger alone</t>
  </si>
  <si>
    <t>A classic, foundational machine learning dataset containing the demographics and survival status of 891 passengers aboard the RMS Titanic.</t>
  </si>
  <si>
    <t>fields to delete</t>
  </si>
  <si>
    <t>fields to rename</t>
  </si>
  <si>
    <t>fields to encode</t>
  </si>
  <si>
    <t>target fields</t>
  </si>
  <si>
    <t>ordinal encode</t>
  </si>
  <si>
    <t>fields to impute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</si>
</sst>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6">
    <font>
      <sz val="11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</font>
    <font>
      <b/>
      <sz val="28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i/>
      <sz val="10"/>
      <color theme="1" tint="0.3999755851924192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0"/>
      <name val="Calibri"/>
      <family val="2"/>
    </font>
    <font>
      <i/>
      <sz val="10"/>
      <color theme="1" tint="0.34998626667073579"/>
      <name val="Calibri"/>
      <family val="2"/>
      <scheme val="minor"/>
    </font>
    <font>
      <i/>
      <sz val="11"/>
      <color theme="1" tint="0.39994506668294322"/>
      <name val="Calibri"/>
      <family val="2"/>
      <scheme val="minor"/>
    </font>
    <font>
      <sz val="11"/>
      <color theme="1" tint="0.3999755851924192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898989"/>
      <name val="Calibri"/>
      <family val="2"/>
      <scheme val="minor"/>
    </font>
    <font>
      <i/>
      <sz val="11"/>
      <color rgb="FF898989"/>
      <name val="Calibri"/>
      <family val="2"/>
      <scheme val="minor"/>
    </font>
    <font>
      <sz val="11"/>
      <color rgb="FF898989"/>
      <name val="Calibri"/>
      <family val="2"/>
      <scheme val="minor"/>
    </font>
    <font>
      <sz val="10"/>
      <color rgb="FF89898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theme="1" tint="0.249977111117893"/>
      </patternFill>
    </fill>
    <fill>
      <patternFill patternType="solid">
        <fgColor rgb="FF000000"/>
        <bgColor theme="1" tint="0.44999542222357858"/>
      </patternFill>
    </fill>
    <fill>
      <patternFill patternType="solid">
        <fgColor rgb="FFFFC000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262626"/>
        <bgColor theme="1" tint="0.249977111117893"/>
      </patternFill>
    </fill>
  </fills>
  <borders count="20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/>
      <top style="thin">
        <color theme="1" tint="-0.249977111117893"/>
      </top>
      <bottom/>
      <diagonal/>
    </border>
    <border>
      <left/>
      <right/>
      <top/>
      <bottom style="thin">
        <color theme="1" tint="-0.249977111117893"/>
      </bottom>
      <diagonal/>
    </border>
    <border>
      <left/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/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249977111117893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/>
      <bottom/>
      <diagonal/>
    </border>
    <border>
      <left/>
      <right/>
      <top style="thin">
        <color theme="1" tint="-0.499984740745262"/>
      </top>
      <bottom style="thin">
        <color theme="1" tint="-0.499984740745262"/>
      </bottom>
      <diagonal/>
    </border>
    <border>
      <left/>
      <right/>
      <top/>
      <bottom style="thin">
        <color theme="1" tint="-0.499984740745262"/>
      </bottom>
      <diagonal/>
    </border>
    <border>
      <left/>
      <right/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249977111117893"/>
      </left>
      <right/>
      <top style="thin">
        <color theme="1" tint="-0.249977111117893"/>
      </top>
      <bottom style="thin">
        <color theme="1" tint="-0.249977111117893"/>
      </bottom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/>
      <diagonal/>
    </border>
    <border>
      <left/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/>
      <diagonal/>
    </border>
  </borders>
  <cellStyleXfs count="8">
    <xf numFmtId="0" fontId="0" fillId="2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Protection="0">
      <alignment horizontal="left" vertical="center"/>
    </xf>
    <xf numFmtId="0" fontId="2" fillId="2" borderId="11" applyProtection="0">
      <alignment horizontal="right" vertical="center"/>
    </xf>
    <xf numFmtId="0" fontId="3" fillId="2" borderId="1" applyProtection="0">
      <alignment horizontal="center" vertical="center"/>
    </xf>
    <xf numFmtId="0" fontId="18" fillId="2" borderId="14">
      <alignment horizontal="center" vertical="center"/>
    </xf>
    <xf numFmtId="0" fontId="4" fillId="2" borderId="0" applyProtection="0">
      <alignment horizontal="center" vertical="center" wrapText="1"/>
    </xf>
  </cellStyleXfs>
  <cellXfs count="109">
    <xf numFmtId="0" fontId="0" fillId="2" borderId="0" xfId="0"/>
    <xf numFmtId="0" fontId="0" fillId="2" borderId="0" xfId="0" applyAlignment="1">
      <alignment vertical="center" textRotation="180"/>
    </xf>
    <xf numFmtId="0" fontId="2" fillId="2" borderId="0" xfId="3">
      <alignment horizontal="left" vertical="center"/>
    </xf>
    <xf numFmtId="0" fontId="2" fillId="2" borderId="0" xfId="4" applyBorder="1">
      <alignment horizontal="right" vertical="center"/>
    </xf>
    <xf numFmtId="0" fontId="0" fillId="2" borderId="0" xfId="0" applyFill="1"/>
    <xf numFmtId="0" fontId="0" fillId="2" borderId="0" xfId="0"/>
    <xf numFmtId="0" fontId="9" fillId="4" borderId="0" xfId="0" applyFont="1" applyFill="1" applyAlignment="1">
      <alignment horizontal="right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Border="1" applyAlignment="1">
      <alignment horizontal="left" vertical="center"/>
    </xf>
    <xf numFmtId="0" fontId="0" fillId="2" borderId="0" xfId="0" applyFill="1" applyBorder="1" applyAlignment="1">
      <alignment horizontal="right"/>
    </xf>
    <xf numFmtId="0" fontId="0" fillId="2" borderId="0" xfId="0"/>
    <xf numFmtId="0" fontId="0" fillId="2" borderId="0" xfId="0" applyAlignment="1">
      <alignment textRotation="180"/>
    </xf>
    <xf numFmtId="0" fontId="8" fillId="2" borderId="0" xfId="0" applyFont="1"/>
    <xf numFmtId="0" fontId="6" fillId="2" borderId="0" xfId="0" applyFont="1" applyAlignment="1">
      <alignment horizontal="left" vertical="center"/>
    </xf>
    <xf numFmtId="0" fontId="5" fillId="2" borderId="0" xfId="0" applyFont="1" applyAlignment="1">
      <alignment horizontal="right" vertical="center" indent="7"/>
    </xf>
    <xf numFmtId="0" fontId="7" fillId="2" borderId="0" xfId="0" applyFont="1"/>
    <xf numFmtId="0" fontId="0" fillId="2" borderId="2" xfId="0" applyBorder="1" applyAlignment="1">
      <alignment horizontal="center" vertical="center"/>
    </xf>
    <xf numFmtId="164" fontId="0" fillId="2" borderId="2" xfId="0" applyNumberFormat="1" applyBorder="1" applyAlignment="1">
      <alignment horizontal="center" vertical="center"/>
    </xf>
    <xf numFmtId="3" fontId="0" fillId="2" borderId="2" xfId="0" applyNumberFormat="1" applyBorder="1" applyAlignment="1">
      <alignment horizontal="center" vertical="center"/>
    </xf>
    <xf numFmtId="4" fontId="0" fillId="2" borderId="2" xfId="0" applyNumberFormat="1" applyBorder="1" applyAlignment="1">
      <alignment horizontal="center" vertical="center"/>
    </xf>
    <xf numFmtId="0" fontId="0" fillId="5" borderId="0" xfId="0" applyFill="1"/>
    <xf numFmtId="0" fontId="10" fillId="5" borderId="0" xfId="0" applyFont="1" applyFill="1" applyAlignment="1">
      <alignment vertical="center"/>
    </xf>
    <xf numFmtId="0" fontId="2" fillId="2" borderId="3" xfId="4" applyBorder="1">
      <alignment horizontal="right" vertical="center"/>
    </xf>
    <xf numFmtId="0" fontId="2" fillId="2" borderId="4" xfId="4" applyBorder="1">
      <alignment horizontal="right" vertical="center"/>
    </xf>
    <xf numFmtId="0" fontId="2" fillId="2" borderId="5" xfId="4" applyBorder="1">
      <alignment horizontal="right" vertical="center"/>
    </xf>
    <xf numFmtId="0" fontId="2" fillId="2" borderId="6" xfId="4" applyBorder="1">
      <alignment horizontal="right" vertical="center"/>
    </xf>
    <xf numFmtId="0" fontId="2" fillId="2" borderId="7" xfId="4" applyBorder="1">
      <alignment horizontal="right" vertical="center"/>
    </xf>
    <xf numFmtId="0" fontId="2" fillId="2" borderId="8" xfId="4" applyBorder="1">
      <alignment horizontal="right" vertical="center"/>
    </xf>
    <xf numFmtId="0" fontId="2" fillId="2" borderId="9" xfId="4" applyBorder="1">
      <alignment horizontal="right" vertical="center"/>
    </xf>
    <xf numFmtId="0" fontId="6" fillId="2" borderId="0" xfId="0" applyFont="1" applyAlignment="1">
      <alignment vertical="center"/>
    </xf>
    <xf numFmtId="0" fontId="0" fillId="2" borderId="0" xfId="0" applyAlignment="1"/>
    <xf numFmtId="0" fontId="2" fillId="2" borderId="0" xfId="3" applyAlignment="1">
      <alignment horizontal="left" vertical="center"/>
    </xf>
    <xf numFmtId="0" fontId="2" fillId="2" borderId="9" xfId="4" applyBorder="1" applyAlignment="1">
      <alignment horizontal="right" vertical="center"/>
    </xf>
    <xf numFmtId="0" fontId="4" fillId="2" borderId="0" xfId="0" applyFont="1" applyAlignment="1">
      <alignment horizontal="center" vertical="center" wrapText="1"/>
    </xf>
    <xf numFmtId="3" fontId="0" fillId="2" borderId="4" xfId="0" applyNumberFormat="1" applyBorder="1" applyAlignment="1">
      <alignment horizontal="center"/>
    </xf>
    <xf numFmtId="3" fontId="8" fillId="2" borderId="5" xfId="0" applyNumberFormat="1" applyFont="1" applyBorder="1" applyAlignment="1">
      <alignment horizontal="center" vertical="center"/>
    </xf>
    <xf numFmtId="0" fontId="2" fillId="2" borderId="11" xfId="4" applyBorder="1">
      <alignment horizontal="right" vertical="center"/>
    </xf>
    <xf numFmtId="0" fontId="2" fillId="2" borderId="12" xfId="4" applyBorder="1">
      <alignment horizontal="right" vertical="center"/>
    </xf>
    <xf numFmtId="0" fontId="0" fillId="2" borderId="0" xfId="0" applyBorder="1"/>
    <xf numFmtId="0" fontId="2" fillId="2" borderId="13" xfId="4" applyBorder="1">
      <alignment horizontal="right" vertical="center"/>
    </xf>
    <xf numFmtId="0" fontId="3" fillId="2" borderId="0" xfId="5" applyFill="1" applyBorder="1">
      <alignment horizontal="center" vertical="center"/>
    </xf>
    <xf numFmtId="0" fontId="3" fillId="2" borderId="10" xfId="5" applyFill="1" applyBorder="1">
      <alignment horizontal="center" vertical="center"/>
    </xf>
    <xf numFmtId="0" fontId="11" fillId="2" borderId="9" xfId="5" applyFont="1" applyBorder="1">
      <alignment horizontal="center" vertical="center"/>
    </xf>
    <xf numFmtId="0" fontId="11" fillId="2" borderId="0" xfId="5" applyFont="1" applyBorder="1">
      <alignment horizontal="center" vertical="center"/>
    </xf>
    <xf numFmtId="0" fontId="11" fillId="2" borderId="10" xfId="5" applyFont="1" applyBorder="1">
      <alignment horizontal="center" vertical="center"/>
    </xf>
    <xf numFmtId="0" fontId="12" fillId="2" borderId="0" xfId="0" applyFont="1" applyBorder="1" applyAlignment="1">
      <alignment horizontal="left" vertical="center"/>
    </xf>
    <xf numFmtId="0" fontId="0" fillId="2" borderId="0" xfId="0"/>
    <xf numFmtId="0" fontId="0" fillId="2" borderId="0" xfId="0" applyAlignment="1">
      <alignment textRotation="180"/>
    </xf>
    <xf numFmtId="0" fontId="5" fillId="2" borderId="0" xfId="0" applyFont="1" applyAlignment="1">
      <alignment horizontal="right" vertical="center" indent="7"/>
    </xf>
    <xf numFmtId="0" fontId="0" fillId="2" borderId="0" xfId="0" applyAlignment="1">
      <alignment horizontal="right"/>
    </xf>
    <xf numFmtId="0" fontId="7" fillId="2" borderId="0" xfId="0" applyFont="1" applyAlignment="1">
      <alignment horizontal="right" vertical="top"/>
    </xf>
    <xf numFmtId="0" fontId="8" fillId="2" borderId="0" xfId="0" applyFont="1" applyAlignment="1">
      <alignment vertical="top"/>
    </xf>
    <xf numFmtId="0" fontId="8" fillId="2" borderId="0" xfId="0" applyFont="1"/>
    <xf numFmtId="0" fontId="0" fillId="2" borderId="0" xfId="0" applyAlignment="1">
      <alignment horizontal="center" vertical="center"/>
    </xf>
    <xf numFmtId="0" fontId="12" fillId="2" borderId="0" xfId="0" applyFont="1" applyAlignment="1">
      <alignment horizontal="left" vertical="center"/>
    </xf>
    <xf numFmtId="0" fontId="15" fillId="2" borderId="0" xfId="0" applyFont="1" applyAlignment="1">
      <alignment horizontal="left" vertical="center" wrapText="1" indent="1"/>
    </xf>
    <xf numFmtId="0" fontId="16" fillId="2" borderId="0" xfId="0" applyFont="1" applyAlignment="1">
      <alignment horizontal="right" vertical="top" textRotation="180"/>
    </xf>
    <xf numFmtId="0" fontId="17" fillId="2" borderId="0" xfId="0" applyFont="1" applyAlignment="1">
      <alignment horizontal="right" vertical="center"/>
    </xf>
    <xf numFmtId="0" fontId="0" fillId="2" borderId="0" xfId="0" applyAlignment="1">
      <alignment horizontal="right" textRotation="180"/>
    </xf>
    <xf numFmtId="0" fontId="13" fillId="7" borderId="0" xfId="0" applyFont="1" applyFill="1" applyAlignment="1">
      <alignment wrapText="1"/>
    </xf>
    <xf numFmtId="0" fontId="14" fillId="7" borderId="0" xfId="0" applyFont="1" applyFill="1" applyAlignment="1">
      <alignment vertical="center" wrapText="1"/>
    </xf>
    <xf numFmtId="0" fontId="18" fillId="2" borderId="14" xfId="6">
      <alignment horizontal="center" vertical="center"/>
    </xf>
    <xf numFmtId="0" fontId="0" fillId="2" borderId="14" xfId="0" applyFill="1" applyBorder="1" applyAlignment="1">
      <alignment horizontal="left" indent="1"/>
    </xf>
    <xf numFmtId="0" fontId="0" fillId="2" borderId="14" xfId="0" applyFill="1" applyBorder="1" applyAlignment="1">
      <alignment horizontal="center" vertical="center" wrapText="1"/>
    </xf>
    <xf numFmtId="3" fontId="0" fillId="2" borderId="14" xfId="0" applyNumberFormat="1" applyFill="1" applyBorder="1" applyAlignment="1">
      <alignment horizontal="center" vertical="center" wrapText="1"/>
    </xf>
    <xf numFmtId="164" fontId="0" fillId="2" borderId="14" xfId="0" applyNumberFormat="1" applyFill="1" applyBorder="1" applyAlignment="1">
      <alignment horizontal="center" vertical="center" wrapText="1"/>
    </xf>
    <xf numFmtId="4" fontId="0" fillId="2" borderId="14" xfId="0" applyNumberForma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left" vertical="center" indent="1"/>
    </xf>
    <xf numFmtId="0" fontId="0" fillId="7" borderId="16" xfId="0" applyFill="1" applyBorder="1" applyAlignment="1">
      <alignment horizontal="center" vertical="center" wrapText="1"/>
    </xf>
    <xf numFmtId="164" fontId="5" fillId="3" borderId="14" xfId="0" applyNumberFormat="1" applyFont="1" applyFill="1" applyBorder="1" applyAlignment="1">
      <alignment horizontal="center" vertical="top" wrapText="1"/>
    </xf>
    <xf numFmtId="164" fontId="5" fillId="3" borderId="5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Border="1" applyAlignment="1">
      <alignment horizontal="center" vertical="center" wrapText="1"/>
    </xf>
    <xf numFmtId="0" fontId="0" fillId="2" borderId="0" xfId="0" applyBorder="1" applyAlignment="1"/>
    <xf numFmtId="0" fontId="19" fillId="7" borderId="14" xfId="0" applyFont="1" applyFill="1" applyBorder="1" applyAlignment="1">
      <alignment horizontal="left" indent="1"/>
    </xf>
    <xf numFmtId="0" fontId="2" fillId="2" borderId="0" xfId="4" applyBorder="1" applyAlignment="1">
      <alignment horizontal="right" vertical="center"/>
    </xf>
    <xf numFmtId="0" fontId="20" fillId="2" borderId="0" xfId="0" applyFont="1" applyAlignment="1">
      <alignment horizontal="right" vertical="center"/>
    </xf>
    <xf numFmtId="0" fontId="0" fillId="7" borderId="0" xfId="0" applyFill="1"/>
    <xf numFmtId="0" fontId="4" fillId="7" borderId="0" xfId="0" applyFont="1" applyFill="1" applyAlignment="1">
      <alignment horizontal="center" vertical="center"/>
    </xf>
    <xf numFmtId="164" fontId="8" fillId="3" borderId="14" xfId="0" applyNumberFormat="1" applyFont="1" applyFill="1" applyBorder="1" applyAlignment="1">
      <alignment horizontal="center" vertical="top" wrapText="1"/>
    </xf>
    <xf numFmtId="0" fontId="0" fillId="2" borderId="17" xfId="0" applyFill="1" applyBorder="1" applyAlignment="1">
      <alignment horizontal="left" indent="1"/>
    </xf>
    <xf numFmtId="0" fontId="19" fillId="7" borderId="17" xfId="0" applyFont="1" applyFill="1" applyBorder="1" applyAlignment="1">
      <alignment horizontal="left" indent="1"/>
    </xf>
    <xf numFmtId="0" fontId="0" fillId="2" borderId="17" xfId="0" applyFill="1" applyBorder="1" applyAlignment="1">
      <alignment horizontal="center" vertical="center" wrapText="1"/>
    </xf>
    <xf numFmtId="164" fontId="8" fillId="3" borderId="17" xfId="0" applyNumberFormat="1" applyFont="1" applyFill="1" applyBorder="1" applyAlignment="1">
      <alignment horizontal="center" vertical="top" wrapText="1"/>
    </xf>
    <xf numFmtId="3" fontId="0" fillId="2" borderId="17" xfId="0" applyNumberForma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 vertical="center" wrapText="1"/>
    </xf>
    <xf numFmtId="4" fontId="0" fillId="2" borderId="17" xfId="0" applyNumberFormat="1" applyFill="1" applyBorder="1" applyAlignment="1">
      <alignment horizontal="center" vertical="center" wrapText="1"/>
    </xf>
    <xf numFmtId="9" fontId="0" fillId="7" borderId="16" xfId="0" applyNumberFormat="1" applyFill="1" applyBorder="1" applyAlignment="1">
      <alignment horizontal="center" vertical="center" wrapText="1"/>
    </xf>
    <xf numFmtId="0" fontId="4" fillId="6" borderId="0" xfId="7" applyFill="1" applyAlignment="1">
      <alignment horizontal="center" vertical="center" wrapText="1"/>
    </xf>
    <xf numFmtId="0" fontId="4" fillId="2" borderId="0" xfId="7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22" fillId="7" borderId="0" xfId="7" applyFont="1" applyFill="1" applyAlignment="1">
      <alignment horizontal="center" vertical="center" wrapText="1"/>
    </xf>
    <xf numFmtId="0" fontId="23" fillId="7" borderId="15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23" fillId="7" borderId="16" xfId="0" applyFont="1" applyFill="1" applyBorder="1" applyAlignment="1">
      <alignment horizontal="center"/>
    </xf>
    <xf numFmtId="0" fontId="24" fillId="7" borderId="0" xfId="0" applyFont="1" applyFill="1" applyAlignment="1">
      <alignment horizontal="center"/>
    </xf>
    <xf numFmtId="0" fontId="0" fillId="2" borderId="0" xfId="0" applyAlignment="1">
      <alignment horizontal="left" vertical="center"/>
    </xf>
    <xf numFmtId="0" fontId="0" fillId="2" borderId="0" xfId="0" pivotButton="1" applyAlignment="1">
      <alignment horizontal="center" vertical="center" wrapText="1"/>
    </xf>
    <xf numFmtId="0" fontId="0" fillId="2" borderId="0" xfId="0" pivotButton="1" applyAlignment="1">
      <alignment horizontal="left" vertical="center" wrapText="1"/>
    </xf>
    <xf numFmtId="0" fontId="24" fillId="7" borderId="0" xfId="0" applyFont="1" applyFill="1" applyAlignment="1">
      <alignment horizontal="center" vertical="center" wrapText="1"/>
    </xf>
    <xf numFmtId="164" fontId="24" fillId="7" borderId="0" xfId="0" applyNumberFormat="1" applyFont="1" applyFill="1" applyAlignment="1">
      <alignment horizontal="center" vertical="center"/>
    </xf>
    <xf numFmtId="164" fontId="25" fillId="8" borderId="0" xfId="0" applyNumberFormat="1" applyFont="1" applyFill="1" applyAlignment="1">
      <alignment horizontal="center" vertical="center" wrapText="1"/>
    </xf>
    <xf numFmtId="10" fontId="24" fillId="7" borderId="0" xfId="0" applyNumberFormat="1" applyFont="1" applyFill="1" applyAlignment="1">
      <alignment horizontal="center" vertical="center"/>
    </xf>
    <xf numFmtId="0" fontId="3" fillId="2" borderId="1" xfId="5">
      <alignment horizontal="center" vertical="center"/>
    </xf>
  </cellXfs>
  <cellStyles count="8">
    <cellStyle name="DarkHeader" xfId="7" xr:uid="{E2F6A325-2B6F-491C-8710-28B3E934C509}"/>
    <cellStyle name="FalseFlag" xfId="6" xr:uid="{BD988031-97DA-4A1A-AF98-493153F33599}"/>
    <cellStyle name="Followed Hyperlink" xfId="2" builtinId="9" customBuiltin="1"/>
    <cellStyle name="Hyperlink" xfId="1" builtinId="8" customBuiltin="1"/>
    <cellStyle name="Normal" xfId="0" builtinId="0" customBuiltin="1"/>
    <cellStyle name="NoteField" xfId="5" xr:uid="{77D69A19-857B-442A-9B0A-501771EE9A4D}"/>
    <cellStyle name="SubItem" xfId="4" xr:uid="{D21B07FD-5F6D-4154-8AB7-63D035214F3C}"/>
    <cellStyle name="SubSectionTItle" xfId="3" xr:uid="{8B04109E-AD21-4C71-8EF5-077A68DD2476}"/>
  </cellStyles>
  <dxfs count="98"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5" formatCode="&quot;List names must be unique&quot;"/>
      <fill>
        <patternFill>
          <bgColor rgb="FFFFC7CE"/>
        </patternFill>
      </fill>
    </dxf>
    <dxf>
      <font>
        <color rgb="FF898989"/>
      </font>
    </dxf>
    <dxf>
      <font>
        <color rgb="FF898989"/>
      </font>
    </dxf>
    <dxf>
      <fill>
        <patternFill>
          <bgColor rgb="FF262626"/>
        </patternFill>
      </fill>
    </dxf>
    <dxf>
      <fill>
        <patternFill>
          <bgColor rgb="FF262626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numFmt numFmtId="14" formatCode="0.00%"/>
    </dxf>
    <dxf>
      <alignment vertical="center"/>
    </dxf>
    <dxf>
      <alignment horizontal="center"/>
    </dxf>
    <dxf>
      <fill>
        <patternFill>
          <bgColor rgb="FF000000"/>
        </patternFill>
      </fill>
    </dxf>
    <dxf>
      <font>
        <sz val="10"/>
        <color theme="0"/>
      </font>
      <fill>
        <patternFill patternType="solid">
          <fgColor theme="1" tint="0.249977111117893"/>
          <bgColor theme="1"/>
        </patternFill>
      </fill>
      <alignment vertical="top"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numFmt numFmtId="164" formatCode="0.0%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3" formatCode="#,##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164" formatCode="0.0%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3" formatCode="#,##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3" formatCode="#,##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3" formatCode="#,##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0"/>
        <color theme="0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0"/>
        <color theme="0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0"/>
        <color theme="0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relativeIndent="1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relativeIndent="1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bgColor rgb="FF000000"/>
        </patternFill>
      </fill>
      <alignment horizontal="left" vertical="bottom" textRotation="0" wrapText="0" relativeIndent="1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bgColor rgb="FF000000"/>
        </patternFill>
      </fill>
    </dxf>
    <dxf>
      <border>
        <bottom style="thin">
          <color theme="1" tint="-0.249977111117893"/>
        </bottom>
      </border>
    </dxf>
    <dxf>
      <fill>
        <patternFill patternType="solid">
          <fgColor indexed="64"/>
          <bgColor rgb="FF262626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ont>
        <b/>
        <i val="0"/>
        <strike val="0"/>
        <color theme="0"/>
      </font>
      <fill>
        <patternFill patternType="solid">
          <fgColor auto="1"/>
          <bgColor rgb="FF000000"/>
        </patternFill>
      </fill>
      <border>
        <left style="medium">
          <color theme="1" tint="-0.24994659260841701"/>
        </left>
        <right style="medium">
          <color theme="1" tint="-0.24994659260841701"/>
        </right>
        <top style="medium">
          <color theme="1" tint="-0.24994659260841701"/>
        </top>
        <bottom style="medium">
          <color theme="1" tint="-0.24994659260841701"/>
        </bottom>
        <vertical style="medium">
          <color theme="1" tint="-0.24994659260841701"/>
        </vertical>
        <horizontal style="medium">
          <color theme="1" tint="-0.24994659260841701"/>
        </horizontal>
      </border>
    </dxf>
    <dxf>
      <font>
        <color theme="0"/>
      </font>
      <fill>
        <patternFill patternType="solid">
          <fgColor rgb="FF000000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theme="1"/>
          <bgColor rgb="FF000000"/>
        </patternFill>
      </fill>
      <border diagonalUp="0" diagonalDown="0">
        <left style="thin">
          <color theme="1" tint="-0.24994659260841701"/>
        </left>
        <right style="thin">
          <color theme="1" tint="-0.24994659260841701"/>
        </right>
        <top style="thin">
          <color theme="1" tint="-0.24994659260841701"/>
        </top>
        <bottom style="thin">
          <color theme="1" tint="-0.24994659260841701"/>
        </bottom>
        <vertical style="thin">
          <color theme="1" tint="-0.24994659260841701"/>
        </vertical>
        <horizontal style="thin">
          <color theme="1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1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auto="1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2" defaultTableStyle="DarkTable" defaultPivotStyle="DarkPivot">
    <tableStyle name="DarkPivot" table="0" count="3" xr9:uid="{F2CB4A64-8CC4-48DA-B721-DC29E793B33C}">
      <tableStyleElement type="wholeTable" dxfId="97"/>
      <tableStyleElement type="headerRow" dxfId="96"/>
      <tableStyleElement type="totalRow" dxfId="95"/>
    </tableStyle>
    <tableStyle name="DarkTable" pivot="0" count="2" xr9:uid="{97C242D2-6F6D-4549-9428-17456D609B35}">
      <tableStyleElement type="wholeTable" dxfId="94"/>
      <tableStyleElement type="headerRow" dxfId="93"/>
    </tableStyle>
  </tableStyles>
  <colors>
    <mruColors>
      <color rgb="FF262626"/>
      <color rgb="FF1EAC1D"/>
      <color rgb="FF000000"/>
      <color rgb="FF060606"/>
      <color rgb="FF565656"/>
      <color rgb="FFCCCC00"/>
      <color rgb="FFFFFFCC"/>
      <color rgb="FFFFFF99"/>
      <color rgb="FFE6E63E"/>
      <color rgb="FFE61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105537</xdr:colOff>
      <xdr:row>2</xdr:row>
      <xdr:rowOff>29337</xdr:rowOff>
    </xdr:from>
    <xdr:to>
      <xdr:col>3</xdr:col>
      <xdr:colOff>2005203</xdr:colOff>
      <xdr:row>2</xdr:row>
      <xdr:rowOff>557403</xdr:rowOff>
    </xdr:to>
    <xdr:sp macro="" textlink="">
      <xdr:nvSpPr>
        <xdr:cNvPr id="2" name="Field Analysis">
          <a:extLst>
            <a:ext uri="{FF2B5EF4-FFF2-40B4-BE49-F238E27FC236}">
              <a16:creationId xmlns:a16="http://schemas.microsoft.com/office/drawing/2014/main" id="{AAD21EB8-97FA-4F07-B953-2B1EACD3EE5F}"/>
            </a:ext>
          </a:extLst>
        </xdr:cNvPr>
        <xdr:cNvSpPr>
          <a:spLocks/>
        </xdr:cNvSpPr>
      </xdr:nvSpPr>
      <xdr:spPr>
        <a:xfrm>
          <a:off x="501777" y="151257"/>
          <a:ext cx="1663446" cy="4366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2400" b="1"/>
        </a:p>
      </xdr:txBody>
    </xdr:sp>
    <xdr:clientData/>
  </xdr:twoCellAnchor>
  <xdr:twoCellAnchor>
    <xdr:from>
      <xdr:col>3</xdr:col>
      <xdr:colOff>88392</xdr:colOff>
      <xdr:row>22</xdr:row>
      <xdr:rowOff>11430</xdr:rowOff>
    </xdr:from>
    <xdr:to>
      <xdr:col>3</xdr:col>
      <xdr:colOff>1679448</xdr:colOff>
      <xdr:row>22</xdr:row>
      <xdr:rowOff>240030</xdr:rowOff>
    </xdr:to>
    <xdr:sp macro="" textlink="">
      <xdr:nvSpPr>
        <xdr:cNvPr id="3" name="Composition">
          <a:extLst>
            <a:ext uri="{FF2B5EF4-FFF2-40B4-BE49-F238E27FC236}">
              <a16:creationId xmlns:a16="http://schemas.microsoft.com/office/drawing/2014/main" id="{19E93C40-C710-4E72-974A-0B53E31F60E3}"/>
            </a:ext>
          </a:extLst>
        </xdr:cNvPr>
        <xdr:cNvSpPr>
          <a:spLocks/>
        </xdr:cNvSpPr>
      </xdr:nvSpPr>
      <xdr:spPr>
        <a:xfrm>
          <a:off x="484632" y="467487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3</xdr:col>
      <xdr:colOff>88392</xdr:colOff>
      <xdr:row>35</xdr:row>
      <xdr:rowOff>11430</xdr:rowOff>
    </xdr:from>
    <xdr:to>
      <xdr:col>3</xdr:col>
      <xdr:colOff>1679448</xdr:colOff>
      <xdr:row>35</xdr:row>
      <xdr:rowOff>240030</xdr:rowOff>
    </xdr:to>
    <xdr:sp macro="" textlink="">
      <xdr:nvSpPr>
        <xdr:cNvPr id="4" name="Summary Stats">
          <a:extLst>
            <a:ext uri="{FF2B5EF4-FFF2-40B4-BE49-F238E27FC236}">
              <a16:creationId xmlns:a16="http://schemas.microsoft.com/office/drawing/2014/main" id="{9EEF259A-1E72-4B76-858B-B9E0AF1688A3}"/>
            </a:ext>
          </a:extLst>
        </xdr:cNvPr>
        <xdr:cNvSpPr>
          <a:spLocks/>
        </xdr:cNvSpPr>
      </xdr:nvSpPr>
      <xdr:spPr>
        <a:xfrm>
          <a:off x="484632" y="853821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3</xdr:col>
      <xdr:colOff>88392</xdr:colOff>
      <xdr:row>45</xdr:row>
      <xdr:rowOff>11430</xdr:rowOff>
    </xdr:from>
    <xdr:to>
      <xdr:col>3</xdr:col>
      <xdr:colOff>1679448</xdr:colOff>
      <xdr:row>45</xdr:row>
      <xdr:rowOff>240030</xdr:rowOff>
    </xdr:to>
    <xdr:sp macro="" textlink="">
      <xdr:nvSpPr>
        <xdr:cNvPr id="5" name="Percentiles">
          <a:extLst>
            <a:ext uri="{FF2B5EF4-FFF2-40B4-BE49-F238E27FC236}">
              <a16:creationId xmlns:a16="http://schemas.microsoft.com/office/drawing/2014/main" id="{F4B45ED1-00FA-4CD8-B801-6B4780085F5A}"/>
            </a:ext>
          </a:extLst>
        </xdr:cNvPr>
        <xdr:cNvSpPr>
          <a:spLocks/>
        </xdr:cNvSpPr>
      </xdr:nvSpPr>
      <xdr:spPr>
        <a:xfrm>
          <a:off x="484632" y="1185291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3</xdr:col>
      <xdr:colOff>88392</xdr:colOff>
      <xdr:row>57</xdr:row>
      <xdr:rowOff>11430</xdr:rowOff>
    </xdr:from>
    <xdr:to>
      <xdr:col>3</xdr:col>
      <xdr:colOff>1679448</xdr:colOff>
      <xdr:row>57</xdr:row>
      <xdr:rowOff>240030</xdr:rowOff>
    </xdr:to>
    <xdr:sp macro="" textlink="">
      <xdr:nvSpPr>
        <xdr:cNvPr id="6" name="Field Lists">
          <a:extLst>
            <a:ext uri="{FF2B5EF4-FFF2-40B4-BE49-F238E27FC236}">
              <a16:creationId xmlns:a16="http://schemas.microsoft.com/office/drawing/2014/main" id="{F0E37346-6444-4787-8886-3A0E8BF611B3}"/>
            </a:ext>
          </a:extLst>
        </xdr:cNvPr>
        <xdr:cNvSpPr>
          <a:spLocks/>
        </xdr:cNvSpPr>
      </xdr:nvSpPr>
      <xdr:spPr>
        <a:xfrm>
          <a:off x="484632" y="1393317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3</xdr:col>
      <xdr:colOff>88392</xdr:colOff>
      <xdr:row>68</xdr:row>
      <xdr:rowOff>11430</xdr:rowOff>
    </xdr:from>
    <xdr:to>
      <xdr:col>3</xdr:col>
      <xdr:colOff>1679448</xdr:colOff>
      <xdr:row>68</xdr:row>
      <xdr:rowOff>240030</xdr:rowOff>
    </xdr:to>
    <xdr:sp macro="" textlink="">
      <xdr:nvSpPr>
        <xdr:cNvPr id="7" name="Compiled Lists">
          <a:extLst>
            <a:ext uri="{FF2B5EF4-FFF2-40B4-BE49-F238E27FC236}">
              <a16:creationId xmlns:a16="http://schemas.microsoft.com/office/drawing/2014/main" id="{DEBF7C82-F8FC-4343-8AE4-B3BDD7A4A8B1}"/>
            </a:ext>
          </a:extLst>
        </xdr:cNvPr>
        <xdr:cNvSpPr>
          <a:spLocks/>
        </xdr:cNvSpPr>
      </xdr:nvSpPr>
      <xdr:spPr>
        <a:xfrm>
          <a:off x="484632" y="1583055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 baseline="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3</xdr:col>
      <xdr:colOff>88392</xdr:colOff>
      <xdr:row>4</xdr:row>
      <xdr:rowOff>11430</xdr:rowOff>
    </xdr:from>
    <xdr:to>
      <xdr:col>3</xdr:col>
      <xdr:colOff>1679448</xdr:colOff>
      <xdr:row>4</xdr:row>
      <xdr:rowOff>240030</xdr:rowOff>
    </xdr:to>
    <xdr:sp macro="" textlink="">
      <xdr:nvSpPr>
        <xdr:cNvPr id="8" name="Field Notes">
          <a:extLst>
            <a:ext uri="{FF2B5EF4-FFF2-40B4-BE49-F238E27FC236}">
              <a16:creationId xmlns:a16="http://schemas.microsoft.com/office/drawing/2014/main" id="{209FA15D-AE98-440E-9A73-7E38DC139601}"/>
            </a:ext>
          </a:extLst>
        </xdr:cNvPr>
        <xdr:cNvSpPr>
          <a:spLocks/>
        </xdr:cNvSpPr>
      </xdr:nvSpPr>
      <xdr:spPr>
        <a:xfrm>
          <a:off x="484632" y="72009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3</xdr:col>
      <xdr:colOff>88392</xdr:colOff>
      <xdr:row>12</xdr:row>
      <xdr:rowOff>11430</xdr:rowOff>
    </xdr:from>
    <xdr:to>
      <xdr:col>3</xdr:col>
      <xdr:colOff>1679448</xdr:colOff>
      <xdr:row>12</xdr:row>
      <xdr:rowOff>240030</xdr:rowOff>
    </xdr:to>
    <xdr:sp macro="" textlink="">
      <xdr:nvSpPr>
        <xdr:cNvPr id="9" name="Data Description">
          <a:extLst>
            <a:ext uri="{FF2B5EF4-FFF2-40B4-BE49-F238E27FC236}">
              <a16:creationId xmlns:a16="http://schemas.microsoft.com/office/drawing/2014/main" id="{1A2B53F1-B9E0-4590-9F49-D00E6827E2D0}"/>
            </a:ext>
          </a:extLst>
        </xdr:cNvPr>
        <xdr:cNvSpPr>
          <a:spLocks/>
        </xdr:cNvSpPr>
      </xdr:nvSpPr>
      <xdr:spPr>
        <a:xfrm>
          <a:off x="484632" y="267843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4</xdr:col>
      <xdr:colOff>95250</xdr:colOff>
      <xdr:row>33</xdr:row>
      <xdr:rowOff>95250</xdr:rowOff>
    </xdr:from>
    <xdr:to>
      <xdr:col>4</xdr:col>
      <xdr:colOff>1809750</xdr:colOff>
      <xdr:row>33</xdr:row>
      <xdr:rowOff>1809750</xdr:rowOff>
    </xdr:to>
    <xdr:pic>
      <xdr:nvPicPr>
        <xdr:cNvPr id="11" name="composition_survived">
          <a:extLst>
            <a:ext uri="{FF2B5EF4-FFF2-40B4-BE49-F238E27FC236}">
              <a16:creationId xmlns:a16="http://schemas.microsoft.com/office/drawing/2014/main" id="{BF5E200D-B233-F830-514C-F7E486D22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0290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43</xdr:row>
      <xdr:rowOff>95250</xdr:rowOff>
    </xdr:from>
    <xdr:to>
      <xdr:col>4</xdr:col>
      <xdr:colOff>1809750</xdr:colOff>
      <xdr:row>43</xdr:row>
      <xdr:rowOff>1809750</xdr:rowOff>
    </xdr:to>
    <xdr:pic>
      <xdr:nvPicPr>
        <xdr:cNvPr id="13" name="histogram_survived">
          <a:extLst>
            <a:ext uri="{FF2B5EF4-FFF2-40B4-BE49-F238E27FC236}">
              <a16:creationId xmlns:a16="http://schemas.microsoft.com/office/drawing/2014/main" id="{61FA4396-97BF-661E-AA2E-FDFAA1110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0290" y="4431030"/>
          <a:ext cx="1714500" cy="1714500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33</xdr:row>
      <xdr:rowOff>95250</xdr:rowOff>
    </xdr:from>
    <xdr:to>
      <xdr:col>5</xdr:col>
      <xdr:colOff>1809750</xdr:colOff>
      <xdr:row>33</xdr:row>
      <xdr:rowOff>1809750</xdr:rowOff>
    </xdr:to>
    <xdr:pic>
      <xdr:nvPicPr>
        <xdr:cNvPr id="15" name="composition_pclass">
          <a:extLst>
            <a:ext uri="{FF2B5EF4-FFF2-40B4-BE49-F238E27FC236}">
              <a16:creationId xmlns:a16="http://schemas.microsoft.com/office/drawing/2014/main" id="{F9D2A449-3A0A-4C92-4ED0-804449854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5290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43</xdr:row>
      <xdr:rowOff>95250</xdr:rowOff>
    </xdr:from>
    <xdr:to>
      <xdr:col>5</xdr:col>
      <xdr:colOff>1809750</xdr:colOff>
      <xdr:row>43</xdr:row>
      <xdr:rowOff>1809750</xdr:rowOff>
    </xdr:to>
    <xdr:pic>
      <xdr:nvPicPr>
        <xdr:cNvPr id="17" name="histogram_pclass">
          <a:extLst>
            <a:ext uri="{FF2B5EF4-FFF2-40B4-BE49-F238E27FC236}">
              <a16:creationId xmlns:a16="http://schemas.microsoft.com/office/drawing/2014/main" id="{37D35BA1-3573-3C4F-DE86-CA5315F92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5290" y="4431030"/>
          <a:ext cx="1714500" cy="1714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33</xdr:row>
      <xdr:rowOff>95250</xdr:rowOff>
    </xdr:from>
    <xdr:to>
      <xdr:col>6</xdr:col>
      <xdr:colOff>1809750</xdr:colOff>
      <xdr:row>33</xdr:row>
      <xdr:rowOff>1809750</xdr:rowOff>
    </xdr:to>
    <xdr:pic>
      <xdr:nvPicPr>
        <xdr:cNvPr id="19" name="composition_sex">
          <a:extLst>
            <a:ext uri="{FF2B5EF4-FFF2-40B4-BE49-F238E27FC236}">
              <a16:creationId xmlns:a16="http://schemas.microsoft.com/office/drawing/2014/main" id="{7ED9C6C3-4769-E71C-300D-69CA58570D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0290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33</xdr:row>
      <xdr:rowOff>95250</xdr:rowOff>
    </xdr:from>
    <xdr:to>
      <xdr:col>7</xdr:col>
      <xdr:colOff>1809750</xdr:colOff>
      <xdr:row>33</xdr:row>
      <xdr:rowOff>1809750</xdr:rowOff>
    </xdr:to>
    <xdr:pic>
      <xdr:nvPicPr>
        <xdr:cNvPr id="21" name="composition_age">
          <a:extLst>
            <a:ext uri="{FF2B5EF4-FFF2-40B4-BE49-F238E27FC236}">
              <a16:creationId xmlns:a16="http://schemas.microsoft.com/office/drawing/2014/main" id="{67D74725-751A-035B-231E-3AF14F247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5290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43</xdr:row>
      <xdr:rowOff>95250</xdr:rowOff>
    </xdr:from>
    <xdr:to>
      <xdr:col>7</xdr:col>
      <xdr:colOff>1809750</xdr:colOff>
      <xdr:row>43</xdr:row>
      <xdr:rowOff>1809750</xdr:rowOff>
    </xdr:to>
    <xdr:pic>
      <xdr:nvPicPr>
        <xdr:cNvPr id="23" name="histogram_age">
          <a:extLst>
            <a:ext uri="{FF2B5EF4-FFF2-40B4-BE49-F238E27FC236}">
              <a16:creationId xmlns:a16="http://schemas.microsoft.com/office/drawing/2014/main" id="{ED6A8322-03E4-A87E-BBA6-0EAB9E49D1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5290" y="4431030"/>
          <a:ext cx="1714500" cy="1714500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33</xdr:row>
      <xdr:rowOff>95250</xdr:rowOff>
    </xdr:from>
    <xdr:to>
      <xdr:col>8</xdr:col>
      <xdr:colOff>1809750</xdr:colOff>
      <xdr:row>33</xdr:row>
      <xdr:rowOff>1809750</xdr:rowOff>
    </xdr:to>
    <xdr:pic>
      <xdr:nvPicPr>
        <xdr:cNvPr id="25" name="composition_sibsp">
          <a:extLst>
            <a:ext uri="{FF2B5EF4-FFF2-40B4-BE49-F238E27FC236}">
              <a16:creationId xmlns:a16="http://schemas.microsoft.com/office/drawing/2014/main" id="{291992B1-4A5E-E705-4EB7-192CA21D4F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0290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43</xdr:row>
      <xdr:rowOff>95250</xdr:rowOff>
    </xdr:from>
    <xdr:to>
      <xdr:col>8</xdr:col>
      <xdr:colOff>1809750</xdr:colOff>
      <xdr:row>43</xdr:row>
      <xdr:rowOff>1809750</xdr:rowOff>
    </xdr:to>
    <xdr:pic>
      <xdr:nvPicPr>
        <xdr:cNvPr id="27" name="histogram_sibsp">
          <a:extLst>
            <a:ext uri="{FF2B5EF4-FFF2-40B4-BE49-F238E27FC236}">
              <a16:creationId xmlns:a16="http://schemas.microsoft.com/office/drawing/2014/main" id="{A89AE8EE-A587-FDB9-2D45-BBAA48362B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0290" y="4431030"/>
          <a:ext cx="1714500" cy="1714500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33</xdr:row>
      <xdr:rowOff>95250</xdr:rowOff>
    </xdr:from>
    <xdr:to>
      <xdr:col>9</xdr:col>
      <xdr:colOff>1809750</xdr:colOff>
      <xdr:row>33</xdr:row>
      <xdr:rowOff>1809750</xdr:rowOff>
    </xdr:to>
    <xdr:pic>
      <xdr:nvPicPr>
        <xdr:cNvPr id="29" name="composition_parch">
          <a:extLst>
            <a:ext uri="{FF2B5EF4-FFF2-40B4-BE49-F238E27FC236}">
              <a16:creationId xmlns:a16="http://schemas.microsoft.com/office/drawing/2014/main" id="{63CB450D-FE85-E156-31FC-C0BAC5B82D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5290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43</xdr:row>
      <xdr:rowOff>95250</xdr:rowOff>
    </xdr:from>
    <xdr:to>
      <xdr:col>9</xdr:col>
      <xdr:colOff>1809750</xdr:colOff>
      <xdr:row>43</xdr:row>
      <xdr:rowOff>1809750</xdr:rowOff>
    </xdr:to>
    <xdr:pic>
      <xdr:nvPicPr>
        <xdr:cNvPr id="31" name="histogram_parch">
          <a:extLst>
            <a:ext uri="{FF2B5EF4-FFF2-40B4-BE49-F238E27FC236}">
              <a16:creationId xmlns:a16="http://schemas.microsoft.com/office/drawing/2014/main" id="{A9579DE7-4611-0DF1-14CA-2563D17F4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5290" y="4431030"/>
          <a:ext cx="1714500" cy="17145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33</xdr:row>
      <xdr:rowOff>95250</xdr:rowOff>
    </xdr:from>
    <xdr:to>
      <xdr:col>10</xdr:col>
      <xdr:colOff>1809749</xdr:colOff>
      <xdr:row>33</xdr:row>
      <xdr:rowOff>1809750</xdr:rowOff>
    </xdr:to>
    <xdr:pic>
      <xdr:nvPicPr>
        <xdr:cNvPr id="33" name="composition_fare">
          <a:extLst>
            <a:ext uri="{FF2B5EF4-FFF2-40B4-BE49-F238E27FC236}">
              <a16:creationId xmlns:a16="http://schemas.microsoft.com/office/drawing/2014/main" id="{CC415160-2D4E-890F-1C61-CAC30DB00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0289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43</xdr:row>
      <xdr:rowOff>95250</xdr:rowOff>
    </xdr:from>
    <xdr:to>
      <xdr:col>10</xdr:col>
      <xdr:colOff>1809749</xdr:colOff>
      <xdr:row>43</xdr:row>
      <xdr:rowOff>1809750</xdr:rowOff>
    </xdr:to>
    <xdr:pic>
      <xdr:nvPicPr>
        <xdr:cNvPr id="35" name="histogram_fare">
          <a:extLst>
            <a:ext uri="{FF2B5EF4-FFF2-40B4-BE49-F238E27FC236}">
              <a16:creationId xmlns:a16="http://schemas.microsoft.com/office/drawing/2014/main" id="{6C415B1D-4FA1-5993-5D0D-34A74B0C5F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0289" y="4431030"/>
          <a:ext cx="1714500" cy="1714500"/>
        </a:xfrm>
        <a:prstGeom prst="rect">
          <a:avLst/>
        </a:prstGeom>
      </xdr:spPr>
    </xdr:pic>
    <xdr:clientData/>
  </xdr:twoCellAnchor>
  <xdr:twoCellAnchor>
    <xdr:from>
      <xdr:col>11</xdr:col>
      <xdr:colOff>95249</xdr:colOff>
      <xdr:row>33</xdr:row>
      <xdr:rowOff>95250</xdr:rowOff>
    </xdr:from>
    <xdr:to>
      <xdr:col>11</xdr:col>
      <xdr:colOff>1809749</xdr:colOff>
      <xdr:row>33</xdr:row>
      <xdr:rowOff>1809750</xdr:rowOff>
    </xdr:to>
    <xdr:pic>
      <xdr:nvPicPr>
        <xdr:cNvPr id="37" name="composition_embarked">
          <a:extLst>
            <a:ext uri="{FF2B5EF4-FFF2-40B4-BE49-F238E27FC236}">
              <a16:creationId xmlns:a16="http://schemas.microsoft.com/office/drawing/2014/main" id="{901F3ADC-BBF3-7A90-7DA1-03C1E4FF99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55289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12</xdr:col>
      <xdr:colOff>95249</xdr:colOff>
      <xdr:row>33</xdr:row>
      <xdr:rowOff>95250</xdr:rowOff>
    </xdr:from>
    <xdr:to>
      <xdr:col>12</xdr:col>
      <xdr:colOff>1809749</xdr:colOff>
      <xdr:row>33</xdr:row>
      <xdr:rowOff>1809750</xdr:rowOff>
    </xdr:to>
    <xdr:pic>
      <xdr:nvPicPr>
        <xdr:cNvPr id="39" name="composition_class">
          <a:extLst>
            <a:ext uri="{FF2B5EF4-FFF2-40B4-BE49-F238E27FC236}">
              <a16:creationId xmlns:a16="http://schemas.microsoft.com/office/drawing/2014/main" id="{FF0D57F2-D4B3-BD48-34F8-68A60BF53C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60289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13</xdr:col>
      <xdr:colOff>95249</xdr:colOff>
      <xdr:row>33</xdr:row>
      <xdr:rowOff>95250</xdr:rowOff>
    </xdr:from>
    <xdr:to>
      <xdr:col>13</xdr:col>
      <xdr:colOff>1809749</xdr:colOff>
      <xdr:row>33</xdr:row>
      <xdr:rowOff>1809750</xdr:rowOff>
    </xdr:to>
    <xdr:pic>
      <xdr:nvPicPr>
        <xdr:cNvPr id="41" name="composition_who">
          <a:extLst>
            <a:ext uri="{FF2B5EF4-FFF2-40B4-BE49-F238E27FC236}">
              <a16:creationId xmlns:a16="http://schemas.microsoft.com/office/drawing/2014/main" id="{2D06351D-25B4-A34F-368F-4D202A95AC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65289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14</xdr:col>
      <xdr:colOff>95249</xdr:colOff>
      <xdr:row>33</xdr:row>
      <xdr:rowOff>95250</xdr:rowOff>
    </xdr:from>
    <xdr:to>
      <xdr:col>14</xdr:col>
      <xdr:colOff>1809749</xdr:colOff>
      <xdr:row>33</xdr:row>
      <xdr:rowOff>1809750</xdr:rowOff>
    </xdr:to>
    <xdr:pic>
      <xdr:nvPicPr>
        <xdr:cNvPr id="43" name="composition_adult_male">
          <a:extLst>
            <a:ext uri="{FF2B5EF4-FFF2-40B4-BE49-F238E27FC236}">
              <a16:creationId xmlns:a16="http://schemas.microsoft.com/office/drawing/2014/main" id="{1B475694-9FA2-20FE-EBCB-98448F3A3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70289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14</xdr:col>
      <xdr:colOff>95249</xdr:colOff>
      <xdr:row>43</xdr:row>
      <xdr:rowOff>95250</xdr:rowOff>
    </xdr:from>
    <xdr:to>
      <xdr:col>14</xdr:col>
      <xdr:colOff>1809749</xdr:colOff>
      <xdr:row>43</xdr:row>
      <xdr:rowOff>1809750</xdr:rowOff>
    </xdr:to>
    <xdr:pic>
      <xdr:nvPicPr>
        <xdr:cNvPr id="45" name="histogram_adult_male">
          <a:extLst>
            <a:ext uri="{FF2B5EF4-FFF2-40B4-BE49-F238E27FC236}">
              <a16:creationId xmlns:a16="http://schemas.microsoft.com/office/drawing/2014/main" id="{0A11AF5D-A1C3-06D8-0DDC-096F91C07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70289" y="4431030"/>
          <a:ext cx="1714500" cy="1714500"/>
        </a:xfrm>
        <a:prstGeom prst="rect">
          <a:avLst/>
        </a:prstGeom>
      </xdr:spPr>
    </xdr:pic>
    <xdr:clientData/>
  </xdr:twoCellAnchor>
  <xdr:twoCellAnchor>
    <xdr:from>
      <xdr:col>15</xdr:col>
      <xdr:colOff>95249</xdr:colOff>
      <xdr:row>33</xdr:row>
      <xdr:rowOff>95250</xdr:rowOff>
    </xdr:from>
    <xdr:to>
      <xdr:col>15</xdr:col>
      <xdr:colOff>1809749</xdr:colOff>
      <xdr:row>33</xdr:row>
      <xdr:rowOff>1809750</xdr:rowOff>
    </xdr:to>
    <xdr:pic>
      <xdr:nvPicPr>
        <xdr:cNvPr id="47" name="composition_deck">
          <a:extLst>
            <a:ext uri="{FF2B5EF4-FFF2-40B4-BE49-F238E27FC236}">
              <a16:creationId xmlns:a16="http://schemas.microsoft.com/office/drawing/2014/main" id="{15409B6B-2E19-41DD-0719-E714EE049D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75289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16</xdr:col>
      <xdr:colOff>95249</xdr:colOff>
      <xdr:row>33</xdr:row>
      <xdr:rowOff>95250</xdr:rowOff>
    </xdr:from>
    <xdr:to>
      <xdr:col>16</xdr:col>
      <xdr:colOff>1809749</xdr:colOff>
      <xdr:row>33</xdr:row>
      <xdr:rowOff>1809750</xdr:rowOff>
    </xdr:to>
    <xdr:pic>
      <xdr:nvPicPr>
        <xdr:cNvPr id="49" name="composition_embark_town">
          <a:extLst>
            <a:ext uri="{FF2B5EF4-FFF2-40B4-BE49-F238E27FC236}">
              <a16:creationId xmlns:a16="http://schemas.microsoft.com/office/drawing/2014/main" id="{BC901CE0-A0ED-8B89-AB28-1BF9E2FF97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0289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17</xdr:col>
      <xdr:colOff>95249</xdr:colOff>
      <xdr:row>33</xdr:row>
      <xdr:rowOff>95250</xdr:rowOff>
    </xdr:from>
    <xdr:to>
      <xdr:col>17</xdr:col>
      <xdr:colOff>1809749</xdr:colOff>
      <xdr:row>33</xdr:row>
      <xdr:rowOff>1809750</xdr:rowOff>
    </xdr:to>
    <xdr:pic>
      <xdr:nvPicPr>
        <xdr:cNvPr id="51" name="composition_alive">
          <a:extLst>
            <a:ext uri="{FF2B5EF4-FFF2-40B4-BE49-F238E27FC236}">
              <a16:creationId xmlns:a16="http://schemas.microsoft.com/office/drawing/2014/main" id="{A2B52EFA-DFF0-A51C-E73B-071D127A36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85289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18</xdr:col>
      <xdr:colOff>95249</xdr:colOff>
      <xdr:row>33</xdr:row>
      <xdr:rowOff>95250</xdr:rowOff>
    </xdr:from>
    <xdr:to>
      <xdr:col>18</xdr:col>
      <xdr:colOff>1809749</xdr:colOff>
      <xdr:row>33</xdr:row>
      <xdr:rowOff>1809750</xdr:rowOff>
    </xdr:to>
    <xdr:pic>
      <xdr:nvPicPr>
        <xdr:cNvPr id="53" name="composition_alone">
          <a:extLst>
            <a:ext uri="{FF2B5EF4-FFF2-40B4-BE49-F238E27FC236}">
              <a16:creationId xmlns:a16="http://schemas.microsoft.com/office/drawing/2014/main" id="{DD28C96E-074B-B729-86E4-AF859E86F1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90289" y="2221230"/>
          <a:ext cx="1714500" cy="1714500"/>
        </a:xfrm>
        <a:prstGeom prst="rect">
          <a:avLst/>
        </a:prstGeom>
      </xdr:spPr>
    </xdr:pic>
    <xdr:clientData/>
  </xdr:twoCellAnchor>
  <xdr:twoCellAnchor>
    <xdr:from>
      <xdr:col>18</xdr:col>
      <xdr:colOff>95249</xdr:colOff>
      <xdr:row>43</xdr:row>
      <xdr:rowOff>95250</xdr:rowOff>
    </xdr:from>
    <xdr:to>
      <xdr:col>18</xdr:col>
      <xdr:colOff>1809749</xdr:colOff>
      <xdr:row>43</xdr:row>
      <xdr:rowOff>1809750</xdr:rowOff>
    </xdr:to>
    <xdr:pic>
      <xdr:nvPicPr>
        <xdr:cNvPr id="55" name="histogram_alone">
          <a:extLst>
            <a:ext uri="{FF2B5EF4-FFF2-40B4-BE49-F238E27FC236}">
              <a16:creationId xmlns:a16="http://schemas.microsoft.com/office/drawing/2014/main" id="{956CB67A-ADBE-AD9D-0B18-03C75C7D24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90289" y="4431030"/>
          <a:ext cx="1714500" cy="1714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ivers" refreshedDate="46171.89333402778" createdVersion="8" refreshedVersion="8" minRefreshableVersion="3" recordCount="891" xr:uid="{00DEDBB6-1F4A-4C10-B2D2-FF41FE7983D3}">
  <cacheSource type="worksheet">
    <worksheetSource name="tbl_SourceData"/>
  </cacheSource>
  <cacheFields count="19">
    <cacheField name="Record List" numFmtId="0">
      <sharedItems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 count="7">
        <n v="1"/>
        <n v="0"/>
        <n v="3"/>
        <n v="4"/>
        <n v="2"/>
        <n v="5"/>
        <n v="8"/>
      </sharedItems>
    </cacheField>
    <cacheField name="parch" numFmtId="0">
      <sharedItems containsSemiMixedTypes="0" containsString="0" containsNumber="1" containsInteger="1" minValue="0" maxValue="6" count="7">
        <n v="0"/>
        <n v="1"/>
        <n v="2"/>
        <n v="5"/>
        <n v="3"/>
        <n v="4"/>
        <n v="6"/>
      </sharedItems>
    </cacheField>
    <cacheField name="fare" numFmtId="0">
      <sharedItems containsSemiMixedTypes="0" containsString="0" containsNumber="1" minValue="0" maxValue="512.32920000000001" count="248">
        <n v="7.25"/>
        <n v="71.283299999999997"/>
        <n v="7.9249999999999998"/>
        <n v="53.1"/>
        <n v="8.0500000000000007"/>
        <n v="8.4582999999999995"/>
        <n v="51.862499999999997"/>
        <n v="21.074999999999999"/>
        <n v="11.1333"/>
        <n v="30.070799999999998"/>
        <n v="16.7"/>
        <n v="26.55"/>
        <n v="31.274999999999999"/>
        <n v="7.8541999999999996"/>
        <n v="16"/>
        <n v="29.125"/>
        <n v="13"/>
        <n v="18"/>
        <n v="7.2249999999999996"/>
        <n v="26"/>
        <n v="8.0291999999999994"/>
        <n v="35.5"/>
        <n v="31.387499999999999"/>
        <n v="263"/>
        <n v="7.8792"/>
        <n v="7.8958000000000004"/>
        <n v="27.720800000000001"/>
        <n v="146.52080000000001"/>
        <n v="7.75"/>
        <n v="10.5"/>
        <n v="82.1708"/>
        <n v="52"/>
        <n v="7.2291999999999996"/>
        <n v="11.2417"/>
        <n v="9.4749999999999996"/>
        <n v="21"/>
        <n v="41.5792"/>
        <n v="15.5"/>
        <n v="21.679200000000002"/>
        <n v="17.8"/>
        <n v="39.6875"/>
        <n v="7.8"/>
        <n v="76.729200000000006"/>
        <n v="61.979199999999999"/>
        <n v="27.75"/>
        <n v="46.9"/>
        <n v="80"/>
        <n v="83.474999999999994"/>
        <n v="27.9"/>
        <n v="15.245799999999999"/>
        <n v="8.1583000000000006"/>
        <n v="8.6624999999999996"/>
        <n v="73.5"/>
        <n v="14.4542"/>
        <n v="56.495800000000003"/>
        <n v="7.65"/>
        <n v="29"/>
        <n v="12.475"/>
        <n v="9"/>
        <n v="9.5"/>
        <n v="7.7874999999999996"/>
        <n v="47.1"/>
        <n v="15.85"/>
        <n v="34.375"/>
        <n v="61.174999999999997"/>
        <n v="20.574999999999999"/>
        <n v="34.654200000000003"/>
        <n v="63.3583"/>
        <n v="23"/>
        <n v="77.287499999999994"/>
        <n v="8.6541999999999994"/>
        <n v="7.7750000000000004"/>
        <n v="24.15"/>
        <n v="9.8249999999999993"/>
        <n v="14.458299999999999"/>
        <n v="247.52080000000001"/>
        <n v="7.1417000000000002"/>
        <n v="22.3583"/>
        <n v="6.9749999999999996"/>
        <n v="7.05"/>
        <n v="14.5"/>
        <n v="15.0458"/>
        <n v="26.283300000000001"/>
        <n v="9.2166999999999994"/>
        <n v="79.2"/>
        <n v="6.75"/>
        <n v="11.5"/>
        <n v="36.75"/>
        <n v="7.7957999999999998"/>
        <n v="12.525"/>
        <n v="66.599999999999994"/>
        <n v="7.3125"/>
        <n v="61.379199999999997"/>
        <n v="7.7332999999999998"/>
        <n v="69.55"/>
        <n v="16.100000000000001"/>
        <n v="15.75"/>
        <n v="20.524999999999999"/>
        <n v="55"/>
        <n v="25.925000000000001"/>
        <n v="33.5"/>
        <n v="30.695799999999998"/>
        <n v="25.466699999999999"/>
        <n v="28.712499999999999"/>
        <n v="0"/>
        <n v="15.05"/>
        <n v="39"/>
        <n v="22.024999999999999"/>
        <n v="50"/>
        <n v="8.4041999999999994"/>
        <n v="6.4958"/>
        <n v="10.4625"/>
        <n v="18.787500000000001"/>
        <n v="31"/>
        <n v="113.27500000000001"/>
        <n v="27"/>
        <n v="76.291700000000006"/>
        <n v="90"/>
        <n v="9.35"/>
        <n v="13.5"/>
        <n v="7.55"/>
        <n v="26.25"/>
        <n v="12.275"/>
        <n v="7.125"/>
        <n v="52.554200000000002"/>
        <n v="20.212499999999999"/>
        <n v="86.5"/>
        <n v="512.32920000000001"/>
        <n v="79.650000000000006"/>
        <n v="153.46250000000001"/>
        <n v="135.63329999999999"/>
        <n v="19.5"/>
        <n v="29.7"/>
        <n v="77.958299999999994"/>
        <n v="20.25"/>
        <n v="78.849999999999994"/>
        <n v="91.0792"/>
        <n v="12.875"/>
        <n v="8.85"/>
        <n v="151.55000000000001"/>
        <n v="30.5"/>
        <n v="23.25"/>
        <n v="12.35"/>
        <n v="110.88330000000001"/>
        <n v="108.9"/>
        <n v="24"/>
        <n v="56.929200000000002"/>
        <n v="83.158299999999997"/>
        <n v="262.375"/>
        <n v="14"/>
        <n v="164.86670000000001"/>
        <n v="134.5"/>
        <n v="6.2374999999999998"/>
        <n v="57.979199999999999"/>
        <n v="28.5"/>
        <n v="133.65"/>
        <n v="15.9"/>
        <n v="9.2249999999999996"/>
        <n v="35"/>
        <n v="75.25"/>
        <n v="69.3"/>
        <n v="55.441699999999997"/>
        <n v="211.5"/>
        <n v="4.0125000000000002"/>
        <n v="227.52500000000001"/>
        <n v="15.7417"/>
        <n v="7.7291999999999996"/>
        <n v="12"/>
        <n v="120"/>
        <n v="12.65"/>
        <n v="18.75"/>
        <n v="6.8582999999999998"/>
        <n v="32.5"/>
        <n v="7.875"/>
        <n v="14.4"/>
        <n v="55.9"/>
        <n v="8.1125000000000007"/>
        <n v="81.8583"/>
        <n v="19.258299999999998"/>
        <n v="19.966699999999999"/>
        <n v="89.104200000000006"/>
        <n v="38.5"/>
        <n v="7.7249999999999996"/>
        <n v="13.791700000000001"/>
        <n v="9.8375000000000004"/>
        <n v="7.0457999999999998"/>
        <n v="7.5208000000000004"/>
        <n v="12.2875"/>
        <n v="9.5875000000000004"/>
        <n v="49.504199999999997"/>
        <n v="78.2667"/>
        <n v="15.1"/>
        <n v="7.6292"/>
        <n v="22.524999999999999"/>
        <n v="26.287500000000001"/>
        <n v="59.4"/>
        <n v="7.4958"/>
        <n v="34.020800000000001"/>
        <n v="93.5"/>
        <n v="221.7792"/>
        <n v="106.425"/>
        <n v="49.5"/>
        <n v="71"/>
        <n v="13.862500000000001"/>
        <n v="7.8292000000000002"/>
        <n v="39.6"/>
        <n v="17.399999999999999"/>
        <n v="51.479199999999999"/>
        <n v="26.387499999999999"/>
        <n v="30"/>
        <n v="40.125"/>
        <n v="8.7125000000000004"/>
        <n v="15"/>
        <n v="33"/>
        <n v="42.4"/>
        <n v="15.55"/>
        <n v="65"/>
        <n v="32.320799999999998"/>
        <n v="7.0541999999999998"/>
        <n v="8.4332999999999991"/>
        <n v="25.587499999999999"/>
        <n v="9.8416999999999994"/>
        <n v="8.1374999999999993"/>
        <n v="10.1708"/>
        <n v="211.33750000000001"/>
        <n v="57"/>
        <n v="13.416700000000001"/>
        <n v="7.7416999999999998"/>
        <n v="9.4832999999999998"/>
        <n v="7.7374999999999998"/>
        <n v="8.3625000000000007"/>
        <n v="23.45"/>
        <n v="25.929200000000002"/>
        <n v="8.6832999999999991"/>
        <n v="8.5167000000000002"/>
        <n v="7.8875000000000002"/>
        <n v="37.004199999999997"/>
        <n v="6.45"/>
        <n v="6.95"/>
        <n v="8.3000000000000007"/>
        <n v="6.4375"/>
        <n v="39.4"/>
        <n v="14.1083"/>
        <n v="13.8583"/>
        <n v="50.495800000000003"/>
        <n v="5"/>
        <n v="9.8458000000000006"/>
        <n v="10.5167"/>
      </sharedItems>
    </cacheField>
    <cacheField name="embarked" numFmtId="0">
      <sharedItems containsBlank="1" count="4">
        <s v="S"/>
        <s v="C"/>
        <s v="Q"/>
        <m/>
      </sharedItems>
    </cacheField>
    <cacheField name="class" numFmtId="0">
      <sharedItems count="3">
        <s v="Third"/>
        <s v="First"/>
        <s v="Second"/>
      </sharedItems>
    </cacheField>
    <cacheField name="who" numFmtId="0">
      <sharedItems count="3">
        <s v="man"/>
        <s v="woman"/>
        <s v="child"/>
      </sharedItems>
    </cacheField>
    <cacheField name="adult_male" numFmtId="0">
      <sharedItems/>
    </cacheField>
    <cacheField name="deck" numFmtId="0">
      <sharedItems containsBlank="1"/>
    </cacheField>
    <cacheField name="embark_town" numFmtId="0">
      <sharedItems containsBlank="1"/>
    </cacheField>
    <cacheField name="alive" numFmtId="0">
      <sharedItems/>
    </cacheField>
    <cacheField name="alone" numFmtId="0">
      <sharedItems/>
    </cacheField>
    <cacheField name="index" numFmtId="0">
      <sharedItems containsSemiMixedTypes="0" containsString="0" containsNumber="1" containsInteger="1" minValue="0" maxValue="890"/>
    </cacheField>
    <cacheField name="HasBlank" numFmtId="0">
      <sharedItems containsSemiMixedTypes="0" containsString="0" containsNumber="1" containsInteger="1" minValue="0" maxValue="1"/>
    </cacheField>
    <cacheField name="Record Hash" numFmtId="0">
      <sharedItems containsSemiMixedTypes="0" containsString="0" containsNumber="1" containsInteger="1" minValue="8.2164565283099904E+16" maxValue="1.8389640173648028E+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b v="0"/>
    <x v="0"/>
    <x v="0"/>
    <x v="0"/>
    <x v="0"/>
    <x v="0"/>
    <x v="0"/>
    <x v="0"/>
    <x v="0"/>
    <x v="0"/>
    <x v="0"/>
    <b v="1"/>
    <m/>
    <s v="Southampton"/>
    <s v="no"/>
    <b v="0"/>
    <n v="0"/>
    <n v="1"/>
    <n v="1.4182211292016054E+19"/>
  </r>
  <r>
    <b v="0"/>
    <x v="1"/>
    <x v="1"/>
    <x v="1"/>
    <x v="1"/>
    <x v="0"/>
    <x v="0"/>
    <x v="1"/>
    <x v="1"/>
    <x v="1"/>
    <x v="1"/>
    <b v="0"/>
    <s v="C"/>
    <s v="Cherbourg"/>
    <s v="yes"/>
    <b v="0"/>
    <n v="1"/>
    <n v="0"/>
    <n v="8.7442246062477353E+18"/>
  </r>
  <r>
    <b v="0"/>
    <x v="1"/>
    <x v="0"/>
    <x v="1"/>
    <x v="2"/>
    <x v="1"/>
    <x v="0"/>
    <x v="2"/>
    <x v="0"/>
    <x v="0"/>
    <x v="1"/>
    <b v="0"/>
    <m/>
    <s v="Southampton"/>
    <s v="yes"/>
    <b v="1"/>
    <n v="2"/>
    <n v="1"/>
    <n v="1.777312046829014E+19"/>
  </r>
  <r>
    <b v="0"/>
    <x v="1"/>
    <x v="1"/>
    <x v="1"/>
    <x v="3"/>
    <x v="0"/>
    <x v="0"/>
    <x v="3"/>
    <x v="0"/>
    <x v="1"/>
    <x v="1"/>
    <b v="0"/>
    <s v="C"/>
    <s v="Southampton"/>
    <s v="yes"/>
    <b v="0"/>
    <n v="3"/>
    <n v="0"/>
    <n v="1.0780043708094898E+19"/>
  </r>
  <r>
    <b v="0"/>
    <x v="0"/>
    <x v="0"/>
    <x v="0"/>
    <x v="3"/>
    <x v="1"/>
    <x v="0"/>
    <x v="4"/>
    <x v="0"/>
    <x v="0"/>
    <x v="0"/>
    <b v="1"/>
    <m/>
    <s v="Southampton"/>
    <s v="no"/>
    <b v="1"/>
    <n v="4"/>
    <n v="1"/>
    <n v="3.6101744845227971E+18"/>
  </r>
  <r>
    <b v="0"/>
    <x v="0"/>
    <x v="0"/>
    <x v="0"/>
    <x v="4"/>
    <x v="1"/>
    <x v="0"/>
    <x v="5"/>
    <x v="2"/>
    <x v="0"/>
    <x v="0"/>
    <b v="1"/>
    <m/>
    <s v="Queenstown"/>
    <s v="no"/>
    <b v="1"/>
    <n v="5"/>
    <n v="1"/>
    <n v="1.5927917262569974E+19"/>
  </r>
  <r>
    <b v="0"/>
    <x v="0"/>
    <x v="1"/>
    <x v="0"/>
    <x v="5"/>
    <x v="1"/>
    <x v="0"/>
    <x v="6"/>
    <x v="0"/>
    <x v="1"/>
    <x v="0"/>
    <b v="1"/>
    <s v="E"/>
    <s v="Southampton"/>
    <s v="no"/>
    <b v="1"/>
    <n v="6"/>
    <n v="0"/>
    <n v="3.1635894601242522E+18"/>
  </r>
  <r>
    <b v="0"/>
    <x v="0"/>
    <x v="0"/>
    <x v="0"/>
    <x v="6"/>
    <x v="2"/>
    <x v="1"/>
    <x v="7"/>
    <x v="0"/>
    <x v="0"/>
    <x v="2"/>
    <b v="0"/>
    <m/>
    <s v="Southampton"/>
    <s v="no"/>
    <b v="0"/>
    <n v="7"/>
    <n v="1"/>
    <n v="1.0257780319308317E+18"/>
  </r>
  <r>
    <b v="0"/>
    <x v="1"/>
    <x v="0"/>
    <x v="1"/>
    <x v="7"/>
    <x v="1"/>
    <x v="2"/>
    <x v="8"/>
    <x v="0"/>
    <x v="0"/>
    <x v="1"/>
    <b v="0"/>
    <m/>
    <s v="Southampton"/>
    <s v="yes"/>
    <b v="0"/>
    <n v="8"/>
    <n v="1"/>
    <n v="6.3503640033045668E+18"/>
  </r>
  <r>
    <b v="0"/>
    <x v="1"/>
    <x v="2"/>
    <x v="1"/>
    <x v="8"/>
    <x v="0"/>
    <x v="0"/>
    <x v="9"/>
    <x v="1"/>
    <x v="2"/>
    <x v="2"/>
    <b v="0"/>
    <m/>
    <s v="Cherbourg"/>
    <s v="yes"/>
    <b v="0"/>
    <n v="9"/>
    <n v="1"/>
    <n v="1.2889082943835085E+19"/>
  </r>
  <r>
    <b v="0"/>
    <x v="1"/>
    <x v="0"/>
    <x v="1"/>
    <x v="9"/>
    <x v="0"/>
    <x v="1"/>
    <x v="10"/>
    <x v="0"/>
    <x v="0"/>
    <x v="2"/>
    <b v="0"/>
    <s v="G"/>
    <s v="Southampton"/>
    <s v="yes"/>
    <b v="0"/>
    <n v="10"/>
    <n v="0"/>
    <n v="1.2044689015418591E+19"/>
  </r>
  <r>
    <b v="0"/>
    <x v="1"/>
    <x v="1"/>
    <x v="1"/>
    <x v="10"/>
    <x v="1"/>
    <x v="0"/>
    <x v="11"/>
    <x v="0"/>
    <x v="1"/>
    <x v="1"/>
    <b v="0"/>
    <s v="C"/>
    <s v="Southampton"/>
    <s v="yes"/>
    <b v="1"/>
    <n v="11"/>
    <n v="0"/>
    <n v="8.6784511947929293E+18"/>
  </r>
  <r>
    <b v="0"/>
    <x v="0"/>
    <x v="0"/>
    <x v="0"/>
    <x v="11"/>
    <x v="1"/>
    <x v="0"/>
    <x v="4"/>
    <x v="0"/>
    <x v="0"/>
    <x v="0"/>
    <b v="1"/>
    <m/>
    <s v="Southampton"/>
    <s v="no"/>
    <b v="1"/>
    <n v="12"/>
    <n v="1"/>
    <n v="8.5041531984385659E+18"/>
  </r>
  <r>
    <b v="0"/>
    <x v="0"/>
    <x v="0"/>
    <x v="0"/>
    <x v="12"/>
    <x v="0"/>
    <x v="3"/>
    <x v="12"/>
    <x v="0"/>
    <x v="0"/>
    <x v="0"/>
    <b v="1"/>
    <m/>
    <s v="Southampton"/>
    <s v="no"/>
    <b v="0"/>
    <n v="13"/>
    <n v="1"/>
    <n v="4.5808900278946954E+18"/>
  </r>
  <r>
    <b v="0"/>
    <x v="0"/>
    <x v="0"/>
    <x v="1"/>
    <x v="8"/>
    <x v="1"/>
    <x v="0"/>
    <x v="13"/>
    <x v="0"/>
    <x v="0"/>
    <x v="2"/>
    <b v="0"/>
    <m/>
    <s v="Southampton"/>
    <s v="no"/>
    <b v="1"/>
    <n v="14"/>
    <n v="1"/>
    <n v="1.5960383835654175E+18"/>
  </r>
  <r>
    <b v="0"/>
    <x v="1"/>
    <x v="2"/>
    <x v="1"/>
    <x v="13"/>
    <x v="1"/>
    <x v="0"/>
    <x v="14"/>
    <x v="0"/>
    <x v="2"/>
    <x v="1"/>
    <b v="0"/>
    <m/>
    <s v="Southampton"/>
    <s v="yes"/>
    <b v="1"/>
    <n v="15"/>
    <n v="1"/>
    <n v="9.5332471996624978E+18"/>
  </r>
  <r>
    <b v="0"/>
    <x v="0"/>
    <x v="0"/>
    <x v="0"/>
    <x v="6"/>
    <x v="3"/>
    <x v="1"/>
    <x v="15"/>
    <x v="2"/>
    <x v="0"/>
    <x v="2"/>
    <b v="0"/>
    <m/>
    <s v="Queenstown"/>
    <s v="no"/>
    <b v="0"/>
    <n v="16"/>
    <n v="1"/>
    <n v="7.8541551835115971E+18"/>
  </r>
  <r>
    <b v="0"/>
    <x v="1"/>
    <x v="2"/>
    <x v="0"/>
    <x v="4"/>
    <x v="1"/>
    <x v="0"/>
    <x v="16"/>
    <x v="0"/>
    <x v="2"/>
    <x v="0"/>
    <b v="1"/>
    <m/>
    <s v="Southampton"/>
    <s v="yes"/>
    <b v="1"/>
    <n v="17"/>
    <n v="1"/>
    <n v="1.114721041716917E+19"/>
  </r>
  <r>
    <b v="0"/>
    <x v="0"/>
    <x v="0"/>
    <x v="1"/>
    <x v="14"/>
    <x v="0"/>
    <x v="0"/>
    <x v="17"/>
    <x v="0"/>
    <x v="0"/>
    <x v="1"/>
    <b v="0"/>
    <m/>
    <s v="Southampton"/>
    <s v="no"/>
    <b v="0"/>
    <n v="18"/>
    <n v="1"/>
    <n v="3.5408800654877947E+18"/>
  </r>
  <r>
    <b v="0"/>
    <x v="1"/>
    <x v="0"/>
    <x v="1"/>
    <x v="4"/>
    <x v="1"/>
    <x v="0"/>
    <x v="18"/>
    <x v="1"/>
    <x v="0"/>
    <x v="1"/>
    <b v="0"/>
    <m/>
    <s v="Cherbourg"/>
    <s v="yes"/>
    <b v="1"/>
    <n v="19"/>
    <n v="1"/>
    <n v="1.8096969626617811E+19"/>
  </r>
  <r>
    <b v="0"/>
    <x v="0"/>
    <x v="2"/>
    <x v="0"/>
    <x v="3"/>
    <x v="1"/>
    <x v="0"/>
    <x v="19"/>
    <x v="0"/>
    <x v="2"/>
    <x v="0"/>
    <b v="1"/>
    <m/>
    <s v="Southampton"/>
    <s v="no"/>
    <b v="1"/>
    <n v="20"/>
    <n v="1"/>
    <n v="1.2060538423762151E+19"/>
  </r>
  <r>
    <b v="0"/>
    <x v="1"/>
    <x v="2"/>
    <x v="0"/>
    <x v="15"/>
    <x v="1"/>
    <x v="0"/>
    <x v="16"/>
    <x v="0"/>
    <x v="2"/>
    <x v="0"/>
    <b v="1"/>
    <s v="D"/>
    <s v="Southampton"/>
    <s v="yes"/>
    <b v="1"/>
    <n v="21"/>
    <n v="0"/>
    <n v="3.0912339767301033E+18"/>
  </r>
  <r>
    <b v="0"/>
    <x v="1"/>
    <x v="0"/>
    <x v="1"/>
    <x v="16"/>
    <x v="1"/>
    <x v="0"/>
    <x v="20"/>
    <x v="2"/>
    <x v="0"/>
    <x v="2"/>
    <b v="0"/>
    <m/>
    <s v="Queenstown"/>
    <s v="yes"/>
    <b v="1"/>
    <n v="22"/>
    <n v="1"/>
    <n v="1.7163543624321241E+19"/>
  </r>
  <r>
    <b v="0"/>
    <x v="1"/>
    <x v="1"/>
    <x v="0"/>
    <x v="17"/>
    <x v="1"/>
    <x v="0"/>
    <x v="21"/>
    <x v="0"/>
    <x v="1"/>
    <x v="0"/>
    <b v="1"/>
    <s v="A"/>
    <s v="Southampton"/>
    <s v="yes"/>
    <b v="1"/>
    <n v="23"/>
    <n v="0"/>
    <n v="7.5196941538670408E+18"/>
  </r>
  <r>
    <b v="0"/>
    <x v="0"/>
    <x v="0"/>
    <x v="1"/>
    <x v="18"/>
    <x v="2"/>
    <x v="1"/>
    <x v="7"/>
    <x v="0"/>
    <x v="0"/>
    <x v="2"/>
    <b v="0"/>
    <m/>
    <s v="Southampton"/>
    <s v="no"/>
    <b v="0"/>
    <n v="24"/>
    <n v="1"/>
    <n v="1.7739548515268233E+19"/>
  </r>
  <r>
    <b v="0"/>
    <x v="1"/>
    <x v="0"/>
    <x v="1"/>
    <x v="1"/>
    <x v="0"/>
    <x v="3"/>
    <x v="22"/>
    <x v="0"/>
    <x v="0"/>
    <x v="1"/>
    <b v="0"/>
    <m/>
    <s v="Southampton"/>
    <s v="yes"/>
    <b v="0"/>
    <n v="25"/>
    <n v="1"/>
    <n v="1.485798410900533E+19"/>
  </r>
  <r>
    <b v="0"/>
    <x v="0"/>
    <x v="0"/>
    <x v="0"/>
    <x v="4"/>
    <x v="1"/>
    <x v="0"/>
    <x v="18"/>
    <x v="1"/>
    <x v="0"/>
    <x v="0"/>
    <b v="1"/>
    <m/>
    <s v="Cherbourg"/>
    <s v="no"/>
    <b v="1"/>
    <n v="26"/>
    <n v="1"/>
    <n v="1.372393968127173E+19"/>
  </r>
  <r>
    <b v="0"/>
    <x v="0"/>
    <x v="1"/>
    <x v="0"/>
    <x v="19"/>
    <x v="2"/>
    <x v="2"/>
    <x v="23"/>
    <x v="0"/>
    <x v="1"/>
    <x v="0"/>
    <b v="1"/>
    <s v="C"/>
    <s v="Southampton"/>
    <s v="no"/>
    <b v="0"/>
    <n v="27"/>
    <n v="0"/>
    <n v="1.0414618809399269E+19"/>
  </r>
  <r>
    <b v="0"/>
    <x v="1"/>
    <x v="0"/>
    <x v="1"/>
    <x v="4"/>
    <x v="1"/>
    <x v="0"/>
    <x v="24"/>
    <x v="2"/>
    <x v="0"/>
    <x v="1"/>
    <b v="0"/>
    <m/>
    <s v="Queenstown"/>
    <s v="yes"/>
    <b v="1"/>
    <n v="28"/>
    <n v="1"/>
    <n v="6.5492023983825981E+18"/>
  </r>
  <r>
    <b v="0"/>
    <x v="0"/>
    <x v="0"/>
    <x v="0"/>
    <x v="4"/>
    <x v="1"/>
    <x v="0"/>
    <x v="25"/>
    <x v="0"/>
    <x v="0"/>
    <x v="0"/>
    <b v="1"/>
    <m/>
    <s v="Southampton"/>
    <s v="no"/>
    <b v="1"/>
    <n v="29"/>
    <n v="1"/>
    <n v="1.6754400222425213E+19"/>
  </r>
  <r>
    <b v="0"/>
    <x v="0"/>
    <x v="1"/>
    <x v="0"/>
    <x v="20"/>
    <x v="1"/>
    <x v="0"/>
    <x v="26"/>
    <x v="1"/>
    <x v="1"/>
    <x v="0"/>
    <b v="1"/>
    <m/>
    <s v="Cherbourg"/>
    <s v="no"/>
    <b v="1"/>
    <n v="30"/>
    <n v="1"/>
    <n v="6.8668567945078866E+18"/>
  </r>
  <r>
    <b v="0"/>
    <x v="1"/>
    <x v="1"/>
    <x v="1"/>
    <x v="4"/>
    <x v="0"/>
    <x v="0"/>
    <x v="27"/>
    <x v="1"/>
    <x v="1"/>
    <x v="1"/>
    <b v="0"/>
    <s v="B"/>
    <s v="Cherbourg"/>
    <s v="yes"/>
    <b v="0"/>
    <n v="31"/>
    <n v="1"/>
    <n v="1.7962405166187928E+19"/>
  </r>
  <r>
    <b v="0"/>
    <x v="1"/>
    <x v="0"/>
    <x v="1"/>
    <x v="4"/>
    <x v="1"/>
    <x v="0"/>
    <x v="28"/>
    <x v="2"/>
    <x v="0"/>
    <x v="1"/>
    <b v="0"/>
    <m/>
    <s v="Queenstown"/>
    <s v="yes"/>
    <b v="1"/>
    <n v="32"/>
    <n v="1"/>
    <n v="2.2608349778930662E+18"/>
  </r>
  <r>
    <b v="0"/>
    <x v="0"/>
    <x v="2"/>
    <x v="0"/>
    <x v="21"/>
    <x v="1"/>
    <x v="0"/>
    <x v="29"/>
    <x v="0"/>
    <x v="2"/>
    <x v="0"/>
    <b v="1"/>
    <m/>
    <s v="Southampton"/>
    <s v="no"/>
    <b v="1"/>
    <n v="33"/>
    <n v="1"/>
    <n v="1.5863334867170064E+19"/>
  </r>
  <r>
    <b v="0"/>
    <x v="0"/>
    <x v="1"/>
    <x v="0"/>
    <x v="17"/>
    <x v="0"/>
    <x v="0"/>
    <x v="30"/>
    <x v="1"/>
    <x v="1"/>
    <x v="0"/>
    <b v="1"/>
    <m/>
    <s v="Cherbourg"/>
    <s v="no"/>
    <b v="0"/>
    <n v="34"/>
    <n v="1"/>
    <n v="1.5438640856043995E+19"/>
  </r>
  <r>
    <b v="0"/>
    <x v="0"/>
    <x v="1"/>
    <x v="0"/>
    <x v="22"/>
    <x v="0"/>
    <x v="0"/>
    <x v="31"/>
    <x v="0"/>
    <x v="1"/>
    <x v="0"/>
    <b v="1"/>
    <m/>
    <s v="Southampton"/>
    <s v="no"/>
    <b v="0"/>
    <n v="35"/>
    <n v="1"/>
    <n v="1.8193998354720207E+19"/>
  </r>
  <r>
    <b v="0"/>
    <x v="1"/>
    <x v="0"/>
    <x v="0"/>
    <x v="4"/>
    <x v="1"/>
    <x v="0"/>
    <x v="32"/>
    <x v="1"/>
    <x v="0"/>
    <x v="0"/>
    <b v="1"/>
    <m/>
    <s v="Cherbourg"/>
    <s v="yes"/>
    <b v="1"/>
    <n v="36"/>
    <n v="1"/>
    <n v="8.5777707043006812E+18"/>
  </r>
  <r>
    <b v="0"/>
    <x v="0"/>
    <x v="0"/>
    <x v="0"/>
    <x v="23"/>
    <x v="1"/>
    <x v="0"/>
    <x v="4"/>
    <x v="0"/>
    <x v="0"/>
    <x v="0"/>
    <b v="1"/>
    <m/>
    <s v="Southampton"/>
    <s v="no"/>
    <b v="1"/>
    <n v="37"/>
    <n v="1"/>
    <n v="5.3729707811433892E+18"/>
  </r>
  <r>
    <b v="0"/>
    <x v="0"/>
    <x v="0"/>
    <x v="1"/>
    <x v="24"/>
    <x v="4"/>
    <x v="0"/>
    <x v="17"/>
    <x v="0"/>
    <x v="0"/>
    <x v="1"/>
    <b v="0"/>
    <m/>
    <s v="Southampton"/>
    <s v="no"/>
    <b v="0"/>
    <n v="38"/>
    <n v="1"/>
    <n v="1.6601798691471448E+19"/>
  </r>
  <r>
    <b v="0"/>
    <x v="1"/>
    <x v="0"/>
    <x v="1"/>
    <x v="8"/>
    <x v="0"/>
    <x v="0"/>
    <x v="33"/>
    <x v="1"/>
    <x v="0"/>
    <x v="2"/>
    <b v="0"/>
    <m/>
    <s v="Cherbourg"/>
    <s v="yes"/>
    <b v="0"/>
    <n v="39"/>
    <n v="1"/>
    <n v="1.4035593801417014E+18"/>
  </r>
  <r>
    <b v="0"/>
    <x v="0"/>
    <x v="0"/>
    <x v="1"/>
    <x v="20"/>
    <x v="0"/>
    <x v="0"/>
    <x v="34"/>
    <x v="0"/>
    <x v="0"/>
    <x v="1"/>
    <b v="0"/>
    <m/>
    <s v="Southampton"/>
    <s v="no"/>
    <b v="0"/>
    <n v="40"/>
    <n v="1"/>
    <n v="1.7756564917595488E+19"/>
  </r>
  <r>
    <b v="0"/>
    <x v="0"/>
    <x v="2"/>
    <x v="1"/>
    <x v="7"/>
    <x v="0"/>
    <x v="0"/>
    <x v="35"/>
    <x v="0"/>
    <x v="2"/>
    <x v="1"/>
    <b v="0"/>
    <m/>
    <s v="Southampton"/>
    <s v="no"/>
    <b v="0"/>
    <n v="41"/>
    <n v="1"/>
    <n v="1.5582079659292342E+19"/>
  </r>
  <r>
    <b v="0"/>
    <x v="0"/>
    <x v="0"/>
    <x v="0"/>
    <x v="4"/>
    <x v="1"/>
    <x v="0"/>
    <x v="25"/>
    <x v="1"/>
    <x v="0"/>
    <x v="0"/>
    <b v="1"/>
    <m/>
    <s v="Cherbourg"/>
    <s v="no"/>
    <b v="1"/>
    <n v="42"/>
    <n v="1"/>
    <n v="8.1160043826142034E+18"/>
  </r>
  <r>
    <b v="0"/>
    <x v="1"/>
    <x v="2"/>
    <x v="1"/>
    <x v="25"/>
    <x v="0"/>
    <x v="2"/>
    <x v="36"/>
    <x v="1"/>
    <x v="2"/>
    <x v="2"/>
    <b v="0"/>
    <m/>
    <s v="Cherbourg"/>
    <s v="yes"/>
    <b v="0"/>
    <n v="43"/>
    <n v="1"/>
    <n v="4.328326826923308E+18"/>
  </r>
  <r>
    <b v="0"/>
    <x v="1"/>
    <x v="0"/>
    <x v="1"/>
    <x v="19"/>
    <x v="1"/>
    <x v="0"/>
    <x v="24"/>
    <x v="2"/>
    <x v="0"/>
    <x v="1"/>
    <b v="0"/>
    <m/>
    <s v="Queenstown"/>
    <s v="yes"/>
    <b v="1"/>
    <n v="44"/>
    <n v="1"/>
    <n v="2.453561432883732E+18"/>
  </r>
  <r>
    <b v="0"/>
    <x v="0"/>
    <x v="0"/>
    <x v="0"/>
    <x v="4"/>
    <x v="1"/>
    <x v="0"/>
    <x v="4"/>
    <x v="0"/>
    <x v="0"/>
    <x v="0"/>
    <b v="1"/>
    <m/>
    <s v="Southampton"/>
    <s v="no"/>
    <b v="1"/>
    <n v="45"/>
    <n v="1"/>
    <n v="5.0106399928479457E+18"/>
  </r>
  <r>
    <b v="0"/>
    <x v="0"/>
    <x v="0"/>
    <x v="0"/>
    <x v="4"/>
    <x v="0"/>
    <x v="0"/>
    <x v="37"/>
    <x v="2"/>
    <x v="0"/>
    <x v="0"/>
    <b v="1"/>
    <m/>
    <s v="Queenstown"/>
    <s v="no"/>
    <b v="0"/>
    <n v="46"/>
    <n v="1"/>
    <n v="8.801942691280555E+18"/>
  </r>
  <r>
    <b v="0"/>
    <x v="1"/>
    <x v="0"/>
    <x v="1"/>
    <x v="4"/>
    <x v="1"/>
    <x v="0"/>
    <x v="28"/>
    <x v="2"/>
    <x v="0"/>
    <x v="1"/>
    <b v="0"/>
    <m/>
    <s v="Queenstown"/>
    <s v="yes"/>
    <b v="1"/>
    <n v="47"/>
    <n v="1"/>
    <n v="4.0502027888625184E+17"/>
  </r>
  <r>
    <b v="0"/>
    <x v="0"/>
    <x v="0"/>
    <x v="0"/>
    <x v="4"/>
    <x v="4"/>
    <x v="0"/>
    <x v="38"/>
    <x v="1"/>
    <x v="0"/>
    <x v="0"/>
    <b v="1"/>
    <m/>
    <s v="Cherbourg"/>
    <s v="no"/>
    <b v="0"/>
    <n v="48"/>
    <n v="1"/>
    <n v="9.6546036171886182E+18"/>
  </r>
  <r>
    <b v="0"/>
    <x v="0"/>
    <x v="0"/>
    <x v="1"/>
    <x v="24"/>
    <x v="0"/>
    <x v="0"/>
    <x v="39"/>
    <x v="0"/>
    <x v="0"/>
    <x v="1"/>
    <b v="0"/>
    <m/>
    <s v="Southampton"/>
    <s v="no"/>
    <b v="0"/>
    <n v="49"/>
    <n v="1"/>
    <n v="1.6448520989172423E+19"/>
  </r>
  <r>
    <b v="0"/>
    <x v="0"/>
    <x v="0"/>
    <x v="0"/>
    <x v="26"/>
    <x v="3"/>
    <x v="1"/>
    <x v="40"/>
    <x v="0"/>
    <x v="0"/>
    <x v="2"/>
    <b v="0"/>
    <m/>
    <s v="Southampton"/>
    <s v="no"/>
    <b v="0"/>
    <n v="50"/>
    <n v="1"/>
    <n v="4.4572979140269097E+18"/>
  </r>
  <r>
    <b v="0"/>
    <x v="0"/>
    <x v="0"/>
    <x v="0"/>
    <x v="23"/>
    <x v="1"/>
    <x v="0"/>
    <x v="41"/>
    <x v="0"/>
    <x v="0"/>
    <x v="0"/>
    <b v="1"/>
    <m/>
    <s v="Southampton"/>
    <s v="no"/>
    <b v="1"/>
    <n v="51"/>
    <n v="1"/>
    <n v="1.674679135723673E+19"/>
  </r>
  <r>
    <b v="0"/>
    <x v="1"/>
    <x v="1"/>
    <x v="1"/>
    <x v="27"/>
    <x v="0"/>
    <x v="0"/>
    <x v="42"/>
    <x v="1"/>
    <x v="1"/>
    <x v="1"/>
    <b v="0"/>
    <s v="D"/>
    <s v="Cherbourg"/>
    <s v="yes"/>
    <b v="0"/>
    <n v="52"/>
    <n v="0"/>
    <n v="1.1263890262906591E+19"/>
  </r>
  <r>
    <b v="0"/>
    <x v="1"/>
    <x v="2"/>
    <x v="1"/>
    <x v="28"/>
    <x v="0"/>
    <x v="0"/>
    <x v="19"/>
    <x v="0"/>
    <x v="2"/>
    <x v="1"/>
    <b v="0"/>
    <m/>
    <s v="Southampton"/>
    <s v="yes"/>
    <b v="0"/>
    <n v="53"/>
    <n v="1"/>
    <n v="1.6461573557624951E+19"/>
  </r>
  <r>
    <b v="0"/>
    <x v="0"/>
    <x v="1"/>
    <x v="0"/>
    <x v="29"/>
    <x v="1"/>
    <x v="1"/>
    <x v="43"/>
    <x v="1"/>
    <x v="1"/>
    <x v="0"/>
    <b v="1"/>
    <s v="B"/>
    <s v="Cherbourg"/>
    <s v="no"/>
    <b v="0"/>
    <n v="54"/>
    <n v="0"/>
    <n v="2.770730220098817E+18"/>
  </r>
  <r>
    <b v="0"/>
    <x v="1"/>
    <x v="1"/>
    <x v="0"/>
    <x v="4"/>
    <x v="1"/>
    <x v="0"/>
    <x v="21"/>
    <x v="0"/>
    <x v="1"/>
    <x v="0"/>
    <b v="1"/>
    <s v="C"/>
    <s v="Southampton"/>
    <s v="yes"/>
    <b v="1"/>
    <n v="55"/>
    <n v="1"/>
    <n v="1.2284564755226276E+19"/>
  </r>
  <r>
    <b v="0"/>
    <x v="1"/>
    <x v="2"/>
    <x v="1"/>
    <x v="23"/>
    <x v="1"/>
    <x v="0"/>
    <x v="29"/>
    <x v="0"/>
    <x v="2"/>
    <x v="1"/>
    <b v="0"/>
    <m/>
    <s v="Southampton"/>
    <s v="yes"/>
    <b v="1"/>
    <n v="56"/>
    <n v="1"/>
    <n v="1.472372247572864E+19"/>
  </r>
  <r>
    <b v="0"/>
    <x v="0"/>
    <x v="0"/>
    <x v="0"/>
    <x v="30"/>
    <x v="1"/>
    <x v="0"/>
    <x v="32"/>
    <x v="1"/>
    <x v="0"/>
    <x v="0"/>
    <b v="1"/>
    <m/>
    <s v="Cherbourg"/>
    <s v="no"/>
    <b v="1"/>
    <n v="57"/>
    <n v="1"/>
    <n v="3.0493915000993137E+18"/>
  </r>
  <r>
    <b v="0"/>
    <x v="1"/>
    <x v="2"/>
    <x v="1"/>
    <x v="31"/>
    <x v="0"/>
    <x v="2"/>
    <x v="44"/>
    <x v="0"/>
    <x v="2"/>
    <x v="2"/>
    <b v="0"/>
    <m/>
    <s v="Southampton"/>
    <s v="yes"/>
    <b v="0"/>
    <n v="58"/>
    <n v="1"/>
    <n v="3.7864505532161837E+17"/>
  </r>
  <r>
    <b v="0"/>
    <x v="0"/>
    <x v="0"/>
    <x v="0"/>
    <x v="32"/>
    <x v="5"/>
    <x v="2"/>
    <x v="45"/>
    <x v="0"/>
    <x v="0"/>
    <x v="2"/>
    <b v="0"/>
    <m/>
    <s v="Southampton"/>
    <s v="no"/>
    <b v="0"/>
    <n v="59"/>
    <n v="1"/>
    <n v="8.3755381484667433E+18"/>
  </r>
  <r>
    <b v="0"/>
    <x v="0"/>
    <x v="0"/>
    <x v="0"/>
    <x v="0"/>
    <x v="1"/>
    <x v="0"/>
    <x v="32"/>
    <x v="1"/>
    <x v="0"/>
    <x v="0"/>
    <b v="1"/>
    <m/>
    <s v="Cherbourg"/>
    <s v="no"/>
    <b v="1"/>
    <n v="60"/>
    <n v="1"/>
    <n v="1.5918195806370103E+19"/>
  </r>
  <r>
    <b v="0"/>
    <x v="1"/>
    <x v="1"/>
    <x v="1"/>
    <x v="1"/>
    <x v="1"/>
    <x v="0"/>
    <x v="46"/>
    <x v="3"/>
    <x v="1"/>
    <x v="1"/>
    <b v="0"/>
    <s v="B"/>
    <m/>
    <s v="yes"/>
    <b v="1"/>
    <n v="61"/>
    <n v="1"/>
    <n v="1.5911952352968333E+19"/>
  </r>
  <r>
    <b v="0"/>
    <x v="0"/>
    <x v="1"/>
    <x v="0"/>
    <x v="33"/>
    <x v="0"/>
    <x v="0"/>
    <x v="47"/>
    <x v="0"/>
    <x v="1"/>
    <x v="0"/>
    <b v="1"/>
    <s v="C"/>
    <s v="Southampton"/>
    <s v="no"/>
    <b v="0"/>
    <n v="62"/>
    <n v="0"/>
    <n v="7.4275625267989146E+18"/>
  </r>
  <r>
    <b v="0"/>
    <x v="0"/>
    <x v="0"/>
    <x v="0"/>
    <x v="9"/>
    <x v="2"/>
    <x v="2"/>
    <x v="48"/>
    <x v="0"/>
    <x v="0"/>
    <x v="2"/>
    <b v="0"/>
    <m/>
    <s v="Southampton"/>
    <s v="no"/>
    <b v="0"/>
    <n v="63"/>
    <n v="1"/>
    <n v="1.0491345763296117E+19"/>
  </r>
  <r>
    <b v="0"/>
    <x v="0"/>
    <x v="1"/>
    <x v="0"/>
    <x v="4"/>
    <x v="1"/>
    <x v="0"/>
    <x v="26"/>
    <x v="1"/>
    <x v="1"/>
    <x v="0"/>
    <b v="1"/>
    <m/>
    <s v="Cherbourg"/>
    <s v="no"/>
    <b v="1"/>
    <n v="64"/>
    <n v="1"/>
    <n v="1.7511368200034492E+19"/>
  </r>
  <r>
    <b v="0"/>
    <x v="1"/>
    <x v="0"/>
    <x v="0"/>
    <x v="4"/>
    <x v="0"/>
    <x v="1"/>
    <x v="49"/>
    <x v="1"/>
    <x v="0"/>
    <x v="0"/>
    <b v="1"/>
    <m/>
    <s v="Cherbourg"/>
    <s v="yes"/>
    <b v="0"/>
    <n v="65"/>
    <n v="1"/>
    <n v="7.2599600410617426E+18"/>
  </r>
  <r>
    <b v="0"/>
    <x v="1"/>
    <x v="2"/>
    <x v="1"/>
    <x v="28"/>
    <x v="1"/>
    <x v="0"/>
    <x v="29"/>
    <x v="0"/>
    <x v="2"/>
    <x v="1"/>
    <b v="0"/>
    <s v="F"/>
    <s v="Southampton"/>
    <s v="yes"/>
    <b v="1"/>
    <n v="66"/>
    <n v="0"/>
    <n v="8.5642717765278054E+18"/>
  </r>
  <r>
    <b v="0"/>
    <x v="0"/>
    <x v="0"/>
    <x v="0"/>
    <x v="19"/>
    <x v="1"/>
    <x v="0"/>
    <x v="50"/>
    <x v="0"/>
    <x v="0"/>
    <x v="0"/>
    <b v="1"/>
    <m/>
    <s v="Southampton"/>
    <s v="no"/>
    <b v="1"/>
    <n v="67"/>
    <n v="1"/>
    <n v="6.3971345322048061E+18"/>
  </r>
  <r>
    <b v="0"/>
    <x v="1"/>
    <x v="0"/>
    <x v="1"/>
    <x v="34"/>
    <x v="3"/>
    <x v="2"/>
    <x v="2"/>
    <x v="0"/>
    <x v="0"/>
    <x v="1"/>
    <b v="0"/>
    <m/>
    <s v="Southampton"/>
    <s v="yes"/>
    <b v="0"/>
    <n v="68"/>
    <n v="1"/>
    <n v="1.1124141302727791E+18"/>
  </r>
  <r>
    <b v="0"/>
    <x v="0"/>
    <x v="0"/>
    <x v="0"/>
    <x v="2"/>
    <x v="4"/>
    <x v="0"/>
    <x v="51"/>
    <x v="0"/>
    <x v="0"/>
    <x v="0"/>
    <b v="1"/>
    <m/>
    <s v="Southampton"/>
    <s v="no"/>
    <b v="0"/>
    <n v="69"/>
    <n v="1"/>
    <n v="1.1352855251036635E+19"/>
  </r>
  <r>
    <b v="0"/>
    <x v="0"/>
    <x v="2"/>
    <x v="0"/>
    <x v="35"/>
    <x v="1"/>
    <x v="0"/>
    <x v="29"/>
    <x v="0"/>
    <x v="2"/>
    <x v="0"/>
    <b v="1"/>
    <m/>
    <s v="Southampton"/>
    <s v="no"/>
    <b v="1"/>
    <n v="70"/>
    <n v="1"/>
    <n v="1.6751215040082975E+19"/>
  </r>
  <r>
    <b v="0"/>
    <x v="0"/>
    <x v="0"/>
    <x v="1"/>
    <x v="36"/>
    <x v="5"/>
    <x v="2"/>
    <x v="45"/>
    <x v="0"/>
    <x v="0"/>
    <x v="1"/>
    <b v="0"/>
    <m/>
    <s v="Southampton"/>
    <s v="no"/>
    <b v="0"/>
    <n v="71"/>
    <n v="1"/>
    <n v="9.2145708877410345E+18"/>
  </r>
  <r>
    <b v="0"/>
    <x v="0"/>
    <x v="2"/>
    <x v="0"/>
    <x v="23"/>
    <x v="1"/>
    <x v="0"/>
    <x v="52"/>
    <x v="0"/>
    <x v="2"/>
    <x v="0"/>
    <b v="1"/>
    <m/>
    <s v="Southampton"/>
    <s v="no"/>
    <b v="1"/>
    <n v="72"/>
    <n v="1"/>
    <n v="5.5794566506880451E+18"/>
  </r>
  <r>
    <b v="0"/>
    <x v="0"/>
    <x v="0"/>
    <x v="0"/>
    <x v="2"/>
    <x v="0"/>
    <x v="0"/>
    <x v="53"/>
    <x v="1"/>
    <x v="0"/>
    <x v="0"/>
    <b v="1"/>
    <m/>
    <s v="Cherbourg"/>
    <s v="no"/>
    <b v="0"/>
    <n v="73"/>
    <n v="1"/>
    <n v="3.751691942999486E+18"/>
  </r>
  <r>
    <b v="0"/>
    <x v="1"/>
    <x v="0"/>
    <x v="0"/>
    <x v="35"/>
    <x v="1"/>
    <x v="0"/>
    <x v="54"/>
    <x v="0"/>
    <x v="0"/>
    <x v="0"/>
    <b v="1"/>
    <m/>
    <s v="Southampton"/>
    <s v="yes"/>
    <b v="1"/>
    <n v="74"/>
    <n v="1"/>
    <n v="5.9915958795668623E+18"/>
  </r>
  <r>
    <b v="0"/>
    <x v="0"/>
    <x v="0"/>
    <x v="0"/>
    <x v="37"/>
    <x v="1"/>
    <x v="0"/>
    <x v="55"/>
    <x v="0"/>
    <x v="0"/>
    <x v="0"/>
    <b v="1"/>
    <s v="F"/>
    <s v="Southampton"/>
    <s v="no"/>
    <b v="1"/>
    <n v="75"/>
    <n v="0"/>
    <n v="9.9677263951609958E+18"/>
  </r>
  <r>
    <b v="0"/>
    <x v="0"/>
    <x v="0"/>
    <x v="0"/>
    <x v="4"/>
    <x v="1"/>
    <x v="0"/>
    <x v="25"/>
    <x v="0"/>
    <x v="0"/>
    <x v="0"/>
    <b v="1"/>
    <m/>
    <s v="Southampton"/>
    <s v="no"/>
    <b v="1"/>
    <n v="76"/>
    <n v="1"/>
    <n v="1.9984505850486185E+18"/>
  </r>
  <r>
    <b v="0"/>
    <x v="0"/>
    <x v="0"/>
    <x v="0"/>
    <x v="4"/>
    <x v="1"/>
    <x v="0"/>
    <x v="4"/>
    <x v="0"/>
    <x v="0"/>
    <x v="0"/>
    <b v="1"/>
    <m/>
    <s v="Southampton"/>
    <s v="no"/>
    <b v="1"/>
    <n v="77"/>
    <n v="1"/>
    <n v="1.8043469206541599E+19"/>
  </r>
  <r>
    <b v="0"/>
    <x v="1"/>
    <x v="2"/>
    <x v="0"/>
    <x v="38"/>
    <x v="1"/>
    <x v="2"/>
    <x v="56"/>
    <x v="0"/>
    <x v="2"/>
    <x v="2"/>
    <b v="0"/>
    <m/>
    <s v="Southampton"/>
    <s v="yes"/>
    <b v="0"/>
    <n v="78"/>
    <n v="1"/>
    <n v="3.4953767400487767E+18"/>
  </r>
  <r>
    <b v="0"/>
    <x v="1"/>
    <x v="0"/>
    <x v="1"/>
    <x v="39"/>
    <x v="1"/>
    <x v="0"/>
    <x v="57"/>
    <x v="0"/>
    <x v="0"/>
    <x v="1"/>
    <b v="0"/>
    <m/>
    <s v="Southampton"/>
    <s v="yes"/>
    <b v="1"/>
    <n v="79"/>
    <n v="1"/>
    <n v="9.4441079504667832E+18"/>
  </r>
  <r>
    <b v="0"/>
    <x v="0"/>
    <x v="0"/>
    <x v="0"/>
    <x v="0"/>
    <x v="1"/>
    <x v="0"/>
    <x v="58"/>
    <x v="0"/>
    <x v="0"/>
    <x v="0"/>
    <b v="1"/>
    <m/>
    <s v="Southampton"/>
    <s v="no"/>
    <b v="1"/>
    <n v="80"/>
    <n v="1"/>
    <n v="1.6850019874437638E+19"/>
  </r>
  <r>
    <b v="0"/>
    <x v="1"/>
    <x v="0"/>
    <x v="0"/>
    <x v="28"/>
    <x v="1"/>
    <x v="0"/>
    <x v="59"/>
    <x v="0"/>
    <x v="0"/>
    <x v="0"/>
    <b v="1"/>
    <m/>
    <s v="Southampton"/>
    <s v="yes"/>
    <b v="1"/>
    <n v="81"/>
    <n v="1"/>
    <n v="1.1838882278319499E+19"/>
  </r>
  <r>
    <b v="0"/>
    <x v="1"/>
    <x v="0"/>
    <x v="1"/>
    <x v="4"/>
    <x v="1"/>
    <x v="0"/>
    <x v="60"/>
    <x v="2"/>
    <x v="0"/>
    <x v="1"/>
    <b v="0"/>
    <m/>
    <s v="Queenstown"/>
    <s v="yes"/>
    <b v="1"/>
    <n v="82"/>
    <n v="1"/>
    <n v="1.3915453620861927E+19"/>
  </r>
  <r>
    <b v="0"/>
    <x v="0"/>
    <x v="1"/>
    <x v="0"/>
    <x v="17"/>
    <x v="1"/>
    <x v="0"/>
    <x v="61"/>
    <x v="0"/>
    <x v="1"/>
    <x v="0"/>
    <b v="1"/>
    <m/>
    <s v="Southampton"/>
    <s v="no"/>
    <b v="1"/>
    <n v="83"/>
    <n v="1"/>
    <n v="9.2378708517103616E+17"/>
  </r>
  <r>
    <b v="0"/>
    <x v="1"/>
    <x v="2"/>
    <x v="1"/>
    <x v="34"/>
    <x v="1"/>
    <x v="0"/>
    <x v="29"/>
    <x v="0"/>
    <x v="2"/>
    <x v="1"/>
    <b v="0"/>
    <m/>
    <s v="Southampton"/>
    <s v="yes"/>
    <b v="1"/>
    <n v="84"/>
    <n v="1"/>
    <n v="9.5042595456694231E+18"/>
  </r>
  <r>
    <b v="0"/>
    <x v="1"/>
    <x v="0"/>
    <x v="1"/>
    <x v="40"/>
    <x v="2"/>
    <x v="0"/>
    <x v="62"/>
    <x v="0"/>
    <x v="0"/>
    <x v="1"/>
    <b v="0"/>
    <m/>
    <s v="Southampton"/>
    <s v="yes"/>
    <b v="0"/>
    <n v="85"/>
    <n v="1"/>
    <n v="1.4583348392302461E+19"/>
  </r>
  <r>
    <b v="0"/>
    <x v="0"/>
    <x v="0"/>
    <x v="0"/>
    <x v="36"/>
    <x v="0"/>
    <x v="4"/>
    <x v="63"/>
    <x v="0"/>
    <x v="0"/>
    <x v="0"/>
    <b v="1"/>
    <m/>
    <s v="Southampton"/>
    <s v="no"/>
    <b v="0"/>
    <n v="86"/>
    <n v="1"/>
    <n v="9.0201975449335644E+18"/>
  </r>
  <r>
    <b v="0"/>
    <x v="0"/>
    <x v="0"/>
    <x v="0"/>
    <x v="4"/>
    <x v="1"/>
    <x v="0"/>
    <x v="4"/>
    <x v="0"/>
    <x v="0"/>
    <x v="0"/>
    <b v="1"/>
    <m/>
    <s v="Southampton"/>
    <s v="no"/>
    <b v="1"/>
    <n v="87"/>
    <n v="1"/>
    <n v="1.4127100047033233E+19"/>
  </r>
  <r>
    <b v="0"/>
    <x v="1"/>
    <x v="1"/>
    <x v="1"/>
    <x v="41"/>
    <x v="2"/>
    <x v="2"/>
    <x v="23"/>
    <x v="0"/>
    <x v="1"/>
    <x v="1"/>
    <b v="0"/>
    <s v="C"/>
    <s v="Southampton"/>
    <s v="yes"/>
    <b v="0"/>
    <n v="88"/>
    <n v="0"/>
    <n v="9.6751199740605932E+18"/>
  </r>
  <r>
    <b v="0"/>
    <x v="0"/>
    <x v="0"/>
    <x v="0"/>
    <x v="42"/>
    <x v="1"/>
    <x v="0"/>
    <x v="4"/>
    <x v="0"/>
    <x v="0"/>
    <x v="0"/>
    <b v="1"/>
    <m/>
    <s v="Southampton"/>
    <s v="no"/>
    <b v="1"/>
    <n v="89"/>
    <n v="1"/>
    <n v="4.0351332573818737E+18"/>
  </r>
  <r>
    <b v="0"/>
    <x v="0"/>
    <x v="0"/>
    <x v="0"/>
    <x v="28"/>
    <x v="1"/>
    <x v="0"/>
    <x v="4"/>
    <x v="0"/>
    <x v="0"/>
    <x v="0"/>
    <b v="1"/>
    <m/>
    <s v="Southampton"/>
    <s v="no"/>
    <b v="1"/>
    <n v="90"/>
    <n v="1"/>
    <n v="7.978555354682708E+18"/>
  </r>
  <r>
    <b v="0"/>
    <x v="0"/>
    <x v="0"/>
    <x v="0"/>
    <x v="11"/>
    <x v="1"/>
    <x v="0"/>
    <x v="13"/>
    <x v="0"/>
    <x v="0"/>
    <x v="0"/>
    <b v="1"/>
    <m/>
    <s v="Southampton"/>
    <s v="no"/>
    <b v="1"/>
    <n v="91"/>
    <n v="1"/>
    <n v="1.8485892446581041E+18"/>
  </r>
  <r>
    <b v="0"/>
    <x v="0"/>
    <x v="1"/>
    <x v="0"/>
    <x v="43"/>
    <x v="0"/>
    <x v="0"/>
    <x v="64"/>
    <x v="0"/>
    <x v="1"/>
    <x v="0"/>
    <b v="1"/>
    <s v="E"/>
    <s v="Southampton"/>
    <s v="no"/>
    <b v="0"/>
    <n v="92"/>
    <n v="0"/>
    <n v="9.1438375637479485E+18"/>
  </r>
  <r>
    <b v="0"/>
    <x v="0"/>
    <x v="0"/>
    <x v="0"/>
    <x v="2"/>
    <x v="0"/>
    <x v="2"/>
    <x v="65"/>
    <x v="0"/>
    <x v="0"/>
    <x v="0"/>
    <b v="1"/>
    <m/>
    <s v="Southampton"/>
    <s v="no"/>
    <b v="0"/>
    <n v="93"/>
    <n v="1"/>
    <n v="1.0547588284197655E+19"/>
  </r>
  <r>
    <b v="0"/>
    <x v="0"/>
    <x v="0"/>
    <x v="0"/>
    <x v="44"/>
    <x v="1"/>
    <x v="0"/>
    <x v="0"/>
    <x v="0"/>
    <x v="0"/>
    <x v="0"/>
    <b v="1"/>
    <m/>
    <s v="Southampton"/>
    <s v="no"/>
    <b v="1"/>
    <n v="94"/>
    <n v="1"/>
    <n v="8.0640379421024819E+18"/>
  </r>
  <r>
    <b v="0"/>
    <x v="0"/>
    <x v="0"/>
    <x v="0"/>
    <x v="4"/>
    <x v="1"/>
    <x v="0"/>
    <x v="4"/>
    <x v="0"/>
    <x v="0"/>
    <x v="0"/>
    <b v="1"/>
    <m/>
    <s v="Southampton"/>
    <s v="no"/>
    <b v="1"/>
    <n v="95"/>
    <n v="1"/>
    <n v="1.0680957036519076E+19"/>
  </r>
  <r>
    <b v="0"/>
    <x v="0"/>
    <x v="1"/>
    <x v="0"/>
    <x v="45"/>
    <x v="1"/>
    <x v="0"/>
    <x v="66"/>
    <x v="1"/>
    <x v="1"/>
    <x v="0"/>
    <b v="1"/>
    <s v="A"/>
    <s v="Cherbourg"/>
    <s v="no"/>
    <b v="1"/>
    <n v="96"/>
    <n v="0"/>
    <n v="1.5259750808593318E+19"/>
  </r>
  <r>
    <b v="0"/>
    <x v="1"/>
    <x v="1"/>
    <x v="0"/>
    <x v="41"/>
    <x v="1"/>
    <x v="1"/>
    <x v="67"/>
    <x v="1"/>
    <x v="1"/>
    <x v="0"/>
    <b v="1"/>
    <s v="D"/>
    <s v="Cherbourg"/>
    <s v="yes"/>
    <b v="0"/>
    <n v="97"/>
    <n v="0"/>
    <n v="1.4479955733802684E+19"/>
  </r>
  <r>
    <b v="0"/>
    <x v="1"/>
    <x v="2"/>
    <x v="1"/>
    <x v="15"/>
    <x v="1"/>
    <x v="1"/>
    <x v="68"/>
    <x v="0"/>
    <x v="2"/>
    <x v="1"/>
    <b v="0"/>
    <m/>
    <s v="Southampton"/>
    <s v="yes"/>
    <b v="0"/>
    <n v="98"/>
    <n v="1"/>
    <n v="3.6317804732794255E+18"/>
  </r>
  <r>
    <b v="0"/>
    <x v="0"/>
    <x v="2"/>
    <x v="0"/>
    <x v="15"/>
    <x v="0"/>
    <x v="0"/>
    <x v="19"/>
    <x v="0"/>
    <x v="2"/>
    <x v="0"/>
    <b v="1"/>
    <m/>
    <s v="Southampton"/>
    <s v="no"/>
    <b v="0"/>
    <n v="99"/>
    <n v="1"/>
    <n v="4.6659487285265623E+18"/>
  </r>
  <r>
    <b v="0"/>
    <x v="0"/>
    <x v="0"/>
    <x v="1"/>
    <x v="17"/>
    <x v="1"/>
    <x v="0"/>
    <x v="25"/>
    <x v="0"/>
    <x v="0"/>
    <x v="1"/>
    <b v="0"/>
    <m/>
    <s v="Southampton"/>
    <s v="no"/>
    <b v="1"/>
    <n v="100"/>
    <n v="1"/>
    <n v="8.3303036082778685E+18"/>
  </r>
  <r>
    <b v="0"/>
    <x v="0"/>
    <x v="0"/>
    <x v="0"/>
    <x v="4"/>
    <x v="1"/>
    <x v="0"/>
    <x v="25"/>
    <x v="0"/>
    <x v="0"/>
    <x v="0"/>
    <b v="1"/>
    <m/>
    <s v="Southampton"/>
    <s v="no"/>
    <b v="1"/>
    <n v="101"/>
    <n v="1"/>
    <n v="6.4039469847049083E+18"/>
  </r>
  <r>
    <b v="0"/>
    <x v="0"/>
    <x v="1"/>
    <x v="0"/>
    <x v="23"/>
    <x v="1"/>
    <x v="1"/>
    <x v="69"/>
    <x v="0"/>
    <x v="1"/>
    <x v="0"/>
    <b v="1"/>
    <s v="D"/>
    <s v="Southampton"/>
    <s v="no"/>
    <b v="0"/>
    <n v="102"/>
    <n v="0"/>
    <n v="1.6567717587297702E+19"/>
  </r>
  <r>
    <b v="0"/>
    <x v="0"/>
    <x v="0"/>
    <x v="0"/>
    <x v="40"/>
    <x v="1"/>
    <x v="0"/>
    <x v="70"/>
    <x v="0"/>
    <x v="0"/>
    <x v="0"/>
    <b v="1"/>
    <m/>
    <s v="Southampton"/>
    <s v="no"/>
    <b v="1"/>
    <n v="103"/>
    <n v="1"/>
    <n v="1.1046900146347547E+19"/>
  </r>
  <r>
    <b v="0"/>
    <x v="0"/>
    <x v="0"/>
    <x v="0"/>
    <x v="46"/>
    <x v="4"/>
    <x v="0"/>
    <x v="2"/>
    <x v="0"/>
    <x v="0"/>
    <x v="0"/>
    <b v="1"/>
    <m/>
    <s v="Southampton"/>
    <s v="no"/>
    <b v="0"/>
    <n v="104"/>
    <n v="1"/>
    <n v="9.4491463845842452E+18"/>
  </r>
  <r>
    <b v="0"/>
    <x v="0"/>
    <x v="0"/>
    <x v="0"/>
    <x v="17"/>
    <x v="1"/>
    <x v="0"/>
    <x v="25"/>
    <x v="0"/>
    <x v="0"/>
    <x v="0"/>
    <b v="1"/>
    <m/>
    <s v="Southampton"/>
    <s v="no"/>
    <b v="1"/>
    <n v="105"/>
    <n v="1"/>
    <n v="1.8806425418016722E+18"/>
  </r>
  <r>
    <b v="0"/>
    <x v="1"/>
    <x v="0"/>
    <x v="1"/>
    <x v="23"/>
    <x v="1"/>
    <x v="0"/>
    <x v="55"/>
    <x v="0"/>
    <x v="0"/>
    <x v="1"/>
    <b v="0"/>
    <m/>
    <s v="Southampton"/>
    <s v="yes"/>
    <b v="1"/>
    <n v="106"/>
    <n v="1"/>
    <n v="1.7221245421181428E+19"/>
  </r>
  <r>
    <b v="0"/>
    <x v="1"/>
    <x v="0"/>
    <x v="0"/>
    <x v="4"/>
    <x v="1"/>
    <x v="0"/>
    <x v="71"/>
    <x v="0"/>
    <x v="0"/>
    <x v="0"/>
    <b v="1"/>
    <m/>
    <s v="Southampton"/>
    <s v="yes"/>
    <b v="1"/>
    <n v="107"/>
    <n v="1"/>
    <n v="9.838565734536575E+18"/>
  </r>
  <r>
    <b v="0"/>
    <x v="0"/>
    <x v="0"/>
    <x v="0"/>
    <x v="1"/>
    <x v="1"/>
    <x v="0"/>
    <x v="25"/>
    <x v="0"/>
    <x v="0"/>
    <x v="0"/>
    <b v="1"/>
    <m/>
    <s v="Southampton"/>
    <s v="no"/>
    <b v="1"/>
    <n v="108"/>
    <n v="1"/>
    <n v="1.3424399319291384E+19"/>
  </r>
  <r>
    <b v="0"/>
    <x v="1"/>
    <x v="0"/>
    <x v="1"/>
    <x v="4"/>
    <x v="0"/>
    <x v="0"/>
    <x v="72"/>
    <x v="2"/>
    <x v="0"/>
    <x v="1"/>
    <b v="0"/>
    <m/>
    <s v="Queenstown"/>
    <s v="yes"/>
    <b v="0"/>
    <n v="109"/>
    <n v="1"/>
    <n v="4.2879536487274819E+18"/>
  </r>
  <r>
    <b v="0"/>
    <x v="0"/>
    <x v="1"/>
    <x v="0"/>
    <x v="47"/>
    <x v="1"/>
    <x v="0"/>
    <x v="31"/>
    <x v="0"/>
    <x v="1"/>
    <x v="0"/>
    <b v="1"/>
    <s v="C"/>
    <s v="Southampton"/>
    <s v="no"/>
    <b v="1"/>
    <n v="110"/>
    <n v="0"/>
    <n v="5.1055992727355392E+18"/>
  </r>
  <r>
    <b v="0"/>
    <x v="0"/>
    <x v="0"/>
    <x v="1"/>
    <x v="48"/>
    <x v="0"/>
    <x v="0"/>
    <x v="53"/>
    <x v="1"/>
    <x v="0"/>
    <x v="2"/>
    <b v="0"/>
    <m/>
    <s v="Cherbourg"/>
    <s v="no"/>
    <b v="0"/>
    <n v="111"/>
    <n v="1"/>
    <n v="1.6334323963014543E+19"/>
  </r>
  <r>
    <b v="0"/>
    <x v="0"/>
    <x v="0"/>
    <x v="0"/>
    <x v="0"/>
    <x v="1"/>
    <x v="0"/>
    <x v="4"/>
    <x v="0"/>
    <x v="0"/>
    <x v="0"/>
    <b v="1"/>
    <m/>
    <s v="Southampton"/>
    <s v="no"/>
    <b v="1"/>
    <n v="112"/>
    <n v="1"/>
    <n v="9.7146299222746337E+18"/>
  </r>
  <r>
    <b v="0"/>
    <x v="0"/>
    <x v="0"/>
    <x v="1"/>
    <x v="11"/>
    <x v="0"/>
    <x v="0"/>
    <x v="73"/>
    <x v="0"/>
    <x v="0"/>
    <x v="1"/>
    <b v="0"/>
    <m/>
    <s v="Southampton"/>
    <s v="no"/>
    <b v="0"/>
    <n v="113"/>
    <n v="1"/>
    <n v="6.43542163116915E+18"/>
  </r>
  <r>
    <b v="0"/>
    <x v="0"/>
    <x v="0"/>
    <x v="1"/>
    <x v="34"/>
    <x v="1"/>
    <x v="0"/>
    <x v="74"/>
    <x v="1"/>
    <x v="0"/>
    <x v="1"/>
    <b v="0"/>
    <m/>
    <s v="Cherbourg"/>
    <s v="no"/>
    <b v="1"/>
    <n v="114"/>
    <n v="1"/>
    <n v="6.3899560649796936E+18"/>
  </r>
  <r>
    <b v="0"/>
    <x v="0"/>
    <x v="0"/>
    <x v="0"/>
    <x v="23"/>
    <x v="1"/>
    <x v="0"/>
    <x v="2"/>
    <x v="0"/>
    <x v="0"/>
    <x v="0"/>
    <b v="1"/>
    <m/>
    <s v="Southampton"/>
    <s v="no"/>
    <b v="1"/>
    <n v="115"/>
    <n v="1"/>
    <n v="1.7344825701377497E+19"/>
  </r>
  <r>
    <b v="0"/>
    <x v="0"/>
    <x v="0"/>
    <x v="0"/>
    <x v="49"/>
    <x v="1"/>
    <x v="0"/>
    <x v="28"/>
    <x v="2"/>
    <x v="0"/>
    <x v="0"/>
    <b v="1"/>
    <m/>
    <s v="Queenstown"/>
    <s v="no"/>
    <b v="1"/>
    <n v="116"/>
    <n v="1"/>
    <n v="1.7979751141007227E+19"/>
  </r>
  <r>
    <b v="0"/>
    <x v="0"/>
    <x v="2"/>
    <x v="0"/>
    <x v="28"/>
    <x v="0"/>
    <x v="0"/>
    <x v="35"/>
    <x v="0"/>
    <x v="2"/>
    <x v="0"/>
    <b v="1"/>
    <m/>
    <s v="Southampton"/>
    <s v="no"/>
    <b v="0"/>
    <n v="117"/>
    <n v="1"/>
    <n v="1.6445224621764989E+19"/>
  </r>
  <r>
    <b v="0"/>
    <x v="0"/>
    <x v="1"/>
    <x v="0"/>
    <x v="42"/>
    <x v="1"/>
    <x v="1"/>
    <x v="75"/>
    <x v="1"/>
    <x v="1"/>
    <x v="0"/>
    <b v="1"/>
    <s v="B"/>
    <s v="Cherbourg"/>
    <s v="no"/>
    <b v="0"/>
    <n v="118"/>
    <n v="0"/>
    <n v="1.712511354611952E+19"/>
  </r>
  <r>
    <b v="0"/>
    <x v="0"/>
    <x v="0"/>
    <x v="1"/>
    <x v="6"/>
    <x v="3"/>
    <x v="2"/>
    <x v="12"/>
    <x v="0"/>
    <x v="0"/>
    <x v="2"/>
    <b v="0"/>
    <m/>
    <s v="Southampton"/>
    <s v="no"/>
    <b v="0"/>
    <n v="119"/>
    <n v="1"/>
    <n v="3.6430809257616696E+18"/>
  </r>
  <r>
    <b v="0"/>
    <x v="0"/>
    <x v="2"/>
    <x v="0"/>
    <x v="23"/>
    <x v="4"/>
    <x v="0"/>
    <x v="52"/>
    <x v="0"/>
    <x v="2"/>
    <x v="0"/>
    <b v="1"/>
    <m/>
    <s v="Southampton"/>
    <s v="no"/>
    <b v="0"/>
    <n v="120"/>
    <n v="1"/>
    <n v="1.251832995394792E+19"/>
  </r>
  <r>
    <b v="0"/>
    <x v="0"/>
    <x v="0"/>
    <x v="0"/>
    <x v="4"/>
    <x v="1"/>
    <x v="0"/>
    <x v="4"/>
    <x v="0"/>
    <x v="0"/>
    <x v="0"/>
    <b v="1"/>
    <m/>
    <s v="Southampton"/>
    <s v="no"/>
    <b v="1"/>
    <n v="121"/>
    <n v="1"/>
    <n v="1.357606120790877E+19"/>
  </r>
  <r>
    <b v="0"/>
    <x v="0"/>
    <x v="2"/>
    <x v="0"/>
    <x v="50"/>
    <x v="0"/>
    <x v="0"/>
    <x v="9"/>
    <x v="1"/>
    <x v="2"/>
    <x v="0"/>
    <b v="1"/>
    <m/>
    <s v="Cherbourg"/>
    <s v="no"/>
    <b v="0"/>
    <n v="122"/>
    <n v="1"/>
    <n v="1.58340873002962E+19"/>
  </r>
  <r>
    <b v="0"/>
    <x v="1"/>
    <x v="2"/>
    <x v="1"/>
    <x v="50"/>
    <x v="1"/>
    <x v="0"/>
    <x v="16"/>
    <x v="0"/>
    <x v="2"/>
    <x v="1"/>
    <b v="0"/>
    <s v="E"/>
    <s v="Southampton"/>
    <s v="yes"/>
    <b v="1"/>
    <n v="123"/>
    <n v="0"/>
    <n v="1.3459478470486125E+19"/>
  </r>
  <r>
    <b v="0"/>
    <x v="0"/>
    <x v="1"/>
    <x v="0"/>
    <x v="5"/>
    <x v="1"/>
    <x v="1"/>
    <x v="69"/>
    <x v="0"/>
    <x v="1"/>
    <x v="0"/>
    <b v="1"/>
    <s v="D"/>
    <s v="Southampton"/>
    <s v="no"/>
    <b v="0"/>
    <n v="124"/>
    <n v="0"/>
    <n v="4.163340924258687E+18"/>
  </r>
  <r>
    <b v="0"/>
    <x v="1"/>
    <x v="0"/>
    <x v="0"/>
    <x v="51"/>
    <x v="0"/>
    <x v="0"/>
    <x v="33"/>
    <x v="1"/>
    <x v="0"/>
    <x v="2"/>
    <b v="0"/>
    <m/>
    <s v="Cherbourg"/>
    <s v="yes"/>
    <b v="0"/>
    <n v="125"/>
    <n v="1"/>
    <n v="1.7549988949633122E+19"/>
  </r>
  <r>
    <b v="0"/>
    <x v="0"/>
    <x v="0"/>
    <x v="0"/>
    <x v="4"/>
    <x v="1"/>
    <x v="0"/>
    <x v="28"/>
    <x v="2"/>
    <x v="0"/>
    <x v="0"/>
    <b v="1"/>
    <m/>
    <s v="Queenstown"/>
    <s v="no"/>
    <b v="1"/>
    <n v="126"/>
    <n v="1"/>
    <n v="8.9882335000585431E+18"/>
  </r>
  <r>
    <b v="0"/>
    <x v="1"/>
    <x v="0"/>
    <x v="0"/>
    <x v="42"/>
    <x v="1"/>
    <x v="0"/>
    <x v="76"/>
    <x v="0"/>
    <x v="0"/>
    <x v="0"/>
    <b v="1"/>
    <m/>
    <s v="Southampton"/>
    <s v="yes"/>
    <b v="1"/>
    <n v="127"/>
    <n v="1"/>
    <n v="9.2558381871899156E+18"/>
  </r>
  <r>
    <b v="0"/>
    <x v="1"/>
    <x v="0"/>
    <x v="1"/>
    <x v="4"/>
    <x v="0"/>
    <x v="1"/>
    <x v="77"/>
    <x v="1"/>
    <x v="0"/>
    <x v="1"/>
    <b v="0"/>
    <s v="F"/>
    <s v="Cherbourg"/>
    <s v="yes"/>
    <b v="0"/>
    <n v="128"/>
    <n v="1"/>
    <n v="1.250032496987496E+19"/>
  </r>
  <r>
    <b v="0"/>
    <x v="0"/>
    <x v="0"/>
    <x v="0"/>
    <x v="33"/>
    <x v="1"/>
    <x v="0"/>
    <x v="78"/>
    <x v="0"/>
    <x v="0"/>
    <x v="0"/>
    <b v="1"/>
    <m/>
    <s v="Southampton"/>
    <s v="no"/>
    <b v="1"/>
    <n v="129"/>
    <n v="1"/>
    <n v="6.0369141791258501E+18"/>
  </r>
  <r>
    <b v="0"/>
    <x v="0"/>
    <x v="0"/>
    <x v="0"/>
    <x v="40"/>
    <x v="1"/>
    <x v="0"/>
    <x v="25"/>
    <x v="1"/>
    <x v="0"/>
    <x v="0"/>
    <b v="1"/>
    <m/>
    <s v="Cherbourg"/>
    <s v="no"/>
    <b v="1"/>
    <n v="130"/>
    <n v="1"/>
    <n v="4.2206546525150264E+18"/>
  </r>
  <r>
    <b v="0"/>
    <x v="0"/>
    <x v="0"/>
    <x v="0"/>
    <x v="11"/>
    <x v="1"/>
    <x v="0"/>
    <x v="79"/>
    <x v="0"/>
    <x v="0"/>
    <x v="0"/>
    <b v="1"/>
    <m/>
    <s v="Southampton"/>
    <s v="no"/>
    <b v="1"/>
    <n v="131"/>
    <n v="1"/>
    <n v="3.22400326165218E+18"/>
  </r>
  <r>
    <b v="0"/>
    <x v="0"/>
    <x v="0"/>
    <x v="1"/>
    <x v="47"/>
    <x v="0"/>
    <x v="0"/>
    <x v="80"/>
    <x v="0"/>
    <x v="0"/>
    <x v="1"/>
    <b v="0"/>
    <m/>
    <s v="Southampton"/>
    <s v="no"/>
    <b v="0"/>
    <n v="132"/>
    <n v="1"/>
    <n v="1.7470571645932562E+19"/>
  </r>
  <r>
    <b v="0"/>
    <x v="1"/>
    <x v="2"/>
    <x v="1"/>
    <x v="28"/>
    <x v="0"/>
    <x v="0"/>
    <x v="19"/>
    <x v="0"/>
    <x v="2"/>
    <x v="1"/>
    <b v="0"/>
    <m/>
    <s v="Southampton"/>
    <s v="yes"/>
    <b v="0"/>
    <n v="133"/>
    <n v="1"/>
    <n v="1.1083218196974399E+19"/>
  </r>
  <r>
    <b v="0"/>
    <x v="0"/>
    <x v="2"/>
    <x v="0"/>
    <x v="37"/>
    <x v="1"/>
    <x v="0"/>
    <x v="16"/>
    <x v="0"/>
    <x v="2"/>
    <x v="0"/>
    <b v="1"/>
    <m/>
    <s v="Southampton"/>
    <s v="no"/>
    <b v="1"/>
    <n v="134"/>
    <n v="1"/>
    <n v="5.9249340405017774E+18"/>
  </r>
  <r>
    <b v="0"/>
    <x v="0"/>
    <x v="2"/>
    <x v="0"/>
    <x v="41"/>
    <x v="1"/>
    <x v="0"/>
    <x v="81"/>
    <x v="1"/>
    <x v="2"/>
    <x v="0"/>
    <b v="1"/>
    <m/>
    <s v="Cherbourg"/>
    <s v="no"/>
    <b v="1"/>
    <n v="135"/>
    <n v="1"/>
    <n v="3.0421895403567232E+18"/>
  </r>
  <r>
    <b v="0"/>
    <x v="1"/>
    <x v="1"/>
    <x v="1"/>
    <x v="19"/>
    <x v="1"/>
    <x v="2"/>
    <x v="82"/>
    <x v="0"/>
    <x v="1"/>
    <x v="1"/>
    <b v="0"/>
    <s v="D"/>
    <s v="Southampton"/>
    <s v="yes"/>
    <b v="0"/>
    <n v="136"/>
    <n v="0"/>
    <n v="5.3055851614642893E+18"/>
  </r>
  <r>
    <b v="0"/>
    <x v="0"/>
    <x v="1"/>
    <x v="0"/>
    <x v="46"/>
    <x v="0"/>
    <x v="0"/>
    <x v="3"/>
    <x v="0"/>
    <x v="1"/>
    <x v="0"/>
    <b v="1"/>
    <s v="C"/>
    <s v="Southampton"/>
    <s v="no"/>
    <b v="0"/>
    <n v="137"/>
    <n v="0"/>
    <n v="2.7134298931909114E+17"/>
  </r>
  <r>
    <b v="0"/>
    <x v="0"/>
    <x v="0"/>
    <x v="0"/>
    <x v="36"/>
    <x v="1"/>
    <x v="0"/>
    <x v="83"/>
    <x v="0"/>
    <x v="0"/>
    <x v="0"/>
    <b v="1"/>
    <m/>
    <s v="Southampton"/>
    <s v="no"/>
    <b v="1"/>
    <n v="138"/>
    <n v="1"/>
    <n v="1.5121564228577819E+19"/>
  </r>
  <r>
    <b v="0"/>
    <x v="0"/>
    <x v="1"/>
    <x v="0"/>
    <x v="42"/>
    <x v="1"/>
    <x v="0"/>
    <x v="84"/>
    <x v="1"/>
    <x v="1"/>
    <x v="0"/>
    <b v="1"/>
    <s v="B"/>
    <s v="Cherbourg"/>
    <s v="no"/>
    <b v="1"/>
    <n v="139"/>
    <n v="0"/>
    <n v="1.1663205479197794E+19"/>
  </r>
  <r>
    <b v="0"/>
    <x v="0"/>
    <x v="0"/>
    <x v="1"/>
    <x v="4"/>
    <x v="1"/>
    <x v="2"/>
    <x v="49"/>
    <x v="1"/>
    <x v="0"/>
    <x v="1"/>
    <b v="0"/>
    <m/>
    <s v="Cherbourg"/>
    <s v="no"/>
    <b v="0"/>
    <n v="140"/>
    <n v="1"/>
    <n v="8.3905797117736059E+18"/>
  </r>
  <r>
    <b v="0"/>
    <x v="1"/>
    <x v="0"/>
    <x v="1"/>
    <x v="0"/>
    <x v="1"/>
    <x v="0"/>
    <x v="28"/>
    <x v="0"/>
    <x v="0"/>
    <x v="1"/>
    <b v="0"/>
    <m/>
    <s v="Southampton"/>
    <s v="yes"/>
    <b v="1"/>
    <n v="141"/>
    <n v="1"/>
    <n v="2.0533579403305162E+18"/>
  </r>
  <r>
    <b v="0"/>
    <x v="1"/>
    <x v="0"/>
    <x v="1"/>
    <x v="42"/>
    <x v="0"/>
    <x v="0"/>
    <x v="62"/>
    <x v="0"/>
    <x v="0"/>
    <x v="1"/>
    <b v="0"/>
    <m/>
    <s v="Southampton"/>
    <s v="yes"/>
    <b v="0"/>
    <n v="142"/>
    <n v="1"/>
    <n v="7.8107545899235564E+18"/>
  </r>
  <r>
    <b v="0"/>
    <x v="0"/>
    <x v="0"/>
    <x v="0"/>
    <x v="19"/>
    <x v="1"/>
    <x v="0"/>
    <x v="85"/>
    <x v="2"/>
    <x v="0"/>
    <x v="0"/>
    <b v="1"/>
    <m/>
    <s v="Queenstown"/>
    <s v="no"/>
    <b v="1"/>
    <n v="143"/>
    <n v="1"/>
    <n v="1.4361531978870866E+19"/>
  </r>
  <r>
    <b v="0"/>
    <x v="0"/>
    <x v="2"/>
    <x v="0"/>
    <x v="24"/>
    <x v="1"/>
    <x v="0"/>
    <x v="86"/>
    <x v="0"/>
    <x v="2"/>
    <x v="0"/>
    <b v="1"/>
    <m/>
    <s v="Southampton"/>
    <s v="no"/>
    <b v="1"/>
    <n v="144"/>
    <n v="1"/>
    <n v="1.5412258297380324E+18"/>
  </r>
  <r>
    <b v="0"/>
    <x v="0"/>
    <x v="2"/>
    <x v="0"/>
    <x v="19"/>
    <x v="0"/>
    <x v="1"/>
    <x v="87"/>
    <x v="0"/>
    <x v="2"/>
    <x v="0"/>
    <b v="1"/>
    <m/>
    <s v="Southampton"/>
    <s v="no"/>
    <b v="0"/>
    <n v="145"/>
    <n v="1"/>
    <n v="1.5453014396229898E+19"/>
  </r>
  <r>
    <b v="0"/>
    <x v="1"/>
    <x v="0"/>
    <x v="0"/>
    <x v="7"/>
    <x v="1"/>
    <x v="0"/>
    <x v="88"/>
    <x v="0"/>
    <x v="0"/>
    <x v="0"/>
    <b v="1"/>
    <m/>
    <s v="Southampton"/>
    <s v="yes"/>
    <b v="1"/>
    <n v="146"/>
    <n v="1"/>
    <n v="6.2100448082580972E+18"/>
  </r>
  <r>
    <b v="0"/>
    <x v="0"/>
    <x v="0"/>
    <x v="1"/>
    <x v="52"/>
    <x v="4"/>
    <x v="2"/>
    <x v="63"/>
    <x v="0"/>
    <x v="0"/>
    <x v="2"/>
    <b v="0"/>
    <m/>
    <s v="Southampton"/>
    <s v="no"/>
    <b v="0"/>
    <n v="147"/>
    <n v="1"/>
    <n v="5.85808386900467E+18"/>
  </r>
  <r>
    <b v="0"/>
    <x v="0"/>
    <x v="2"/>
    <x v="0"/>
    <x v="53"/>
    <x v="1"/>
    <x v="2"/>
    <x v="19"/>
    <x v="0"/>
    <x v="2"/>
    <x v="0"/>
    <b v="1"/>
    <s v="F"/>
    <s v="Southampton"/>
    <s v="no"/>
    <b v="0"/>
    <n v="148"/>
    <n v="0"/>
    <n v="6.9580475046671084E+18"/>
  </r>
  <r>
    <b v="0"/>
    <x v="0"/>
    <x v="2"/>
    <x v="0"/>
    <x v="22"/>
    <x v="1"/>
    <x v="0"/>
    <x v="16"/>
    <x v="0"/>
    <x v="2"/>
    <x v="0"/>
    <b v="1"/>
    <m/>
    <s v="Southampton"/>
    <s v="no"/>
    <b v="1"/>
    <n v="149"/>
    <n v="1"/>
    <n v="9.6332291968407388E+18"/>
  </r>
  <r>
    <b v="0"/>
    <x v="0"/>
    <x v="2"/>
    <x v="0"/>
    <x v="54"/>
    <x v="1"/>
    <x v="0"/>
    <x v="89"/>
    <x v="0"/>
    <x v="2"/>
    <x v="0"/>
    <b v="1"/>
    <m/>
    <s v="Southampton"/>
    <s v="no"/>
    <b v="1"/>
    <n v="150"/>
    <n v="1"/>
    <n v="6.6861350599200543E+18"/>
  </r>
  <r>
    <b v="0"/>
    <x v="1"/>
    <x v="1"/>
    <x v="1"/>
    <x v="0"/>
    <x v="0"/>
    <x v="0"/>
    <x v="90"/>
    <x v="0"/>
    <x v="1"/>
    <x v="1"/>
    <b v="0"/>
    <s v="C"/>
    <s v="Southampton"/>
    <s v="yes"/>
    <b v="0"/>
    <n v="151"/>
    <n v="0"/>
    <n v="1.7524320211684145E+18"/>
  </r>
  <r>
    <b v="0"/>
    <x v="0"/>
    <x v="0"/>
    <x v="0"/>
    <x v="55"/>
    <x v="1"/>
    <x v="0"/>
    <x v="4"/>
    <x v="0"/>
    <x v="0"/>
    <x v="0"/>
    <b v="1"/>
    <m/>
    <s v="Southampton"/>
    <s v="no"/>
    <b v="1"/>
    <n v="152"/>
    <n v="1"/>
    <n v="8.7600331612368947E+18"/>
  </r>
  <r>
    <b v="0"/>
    <x v="0"/>
    <x v="0"/>
    <x v="0"/>
    <x v="56"/>
    <x v="1"/>
    <x v="2"/>
    <x v="80"/>
    <x v="0"/>
    <x v="0"/>
    <x v="0"/>
    <b v="1"/>
    <m/>
    <s v="Southampton"/>
    <s v="no"/>
    <b v="0"/>
    <n v="153"/>
    <n v="1"/>
    <n v="8.1062726343229747E+18"/>
  </r>
  <r>
    <b v="0"/>
    <x v="0"/>
    <x v="0"/>
    <x v="0"/>
    <x v="4"/>
    <x v="1"/>
    <x v="0"/>
    <x v="91"/>
    <x v="0"/>
    <x v="0"/>
    <x v="0"/>
    <b v="1"/>
    <m/>
    <s v="Southampton"/>
    <s v="no"/>
    <b v="1"/>
    <n v="154"/>
    <n v="1"/>
    <n v="4.8269701997451899E+18"/>
  </r>
  <r>
    <b v="0"/>
    <x v="0"/>
    <x v="1"/>
    <x v="0"/>
    <x v="54"/>
    <x v="1"/>
    <x v="1"/>
    <x v="92"/>
    <x v="1"/>
    <x v="1"/>
    <x v="0"/>
    <b v="1"/>
    <m/>
    <s v="Cherbourg"/>
    <s v="no"/>
    <b v="0"/>
    <n v="155"/>
    <n v="1"/>
    <n v="1.8581290733986163E+18"/>
  </r>
  <r>
    <b v="0"/>
    <x v="1"/>
    <x v="0"/>
    <x v="1"/>
    <x v="36"/>
    <x v="1"/>
    <x v="0"/>
    <x v="93"/>
    <x v="2"/>
    <x v="0"/>
    <x v="1"/>
    <b v="0"/>
    <m/>
    <s v="Queenstown"/>
    <s v="yes"/>
    <b v="1"/>
    <n v="156"/>
    <n v="1"/>
    <n v="1.0019525936490442E+18"/>
  </r>
  <r>
    <b v="0"/>
    <x v="0"/>
    <x v="0"/>
    <x v="0"/>
    <x v="39"/>
    <x v="1"/>
    <x v="0"/>
    <x v="4"/>
    <x v="0"/>
    <x v="0"/>
    <x v="0"/>
    <b v="1"/>
    <m/>
    <s v="Southampton"/>
    <s v="no"/>
    <b v="1"/>
    <n v="157"/>
    <n v="1"/>
    <n v="7.1314314702725878E+18"/>
  </r>
  <r>
    <b v="0"/>
    <x v="0"/>
    <x v="0"/>
    <x v="0"/>
    <x v="4"/>
    <x v="1"/>
    <x v="0"/>
    <x v="51"/>
    <x v="0"/>
    <x v="0"/>
    <x v="0"/>
    <b v="1"/>
    <m/>
    <s v="Southampton"/>
    <s v="no"/>
    <b v="1"/>
    <n v="158"/>
    <n v="1"/>
    <n v="7.8545662911386767E+18"/>
  </r>
  <r>
    <b v="0"/>
    <x v="0"/>
    <x v="0"/>
    <x v="0"/>
    <x v="4"/>
    <x v="6"/>
    <x v="2"/>
    <x v="94"/>
    <x v="0"/>
    <x v="0"/>
    <x v="0"/>
    <b v="1"/>
    <m/>
    <s v="Southampton"/>
    <s v="no"/>
    <b v="0"/>
    <n v="159"/>
    <n v="1"/>
    <n v="4.2878649886778844E+18"/>
  </r>
  <r>
    <b v="0"/>
    <x v="0"/>
    <x v="0"/>
    <x v="0"/>
    <x v="57"/>
    <x v="1"/>
    <x v="1"/>
    <x v="95"/>
    <x v="0"/>
    <x v="0"/>
    <x v="0"/>
    <b v="1"/>
    <m/>
    <s v="Southampton"/>
    <s v="no"/>
    <b v="0"/>
    <n v="160"/>
    <n v="1"/>
    <n v="1.7985555262120913E+19"/>
  </r>
  <r>
    <b v="0"/>
    <x v="1"/>
    <x v="2"/>
    <x v="1"/>
    <x v="20"/>
    <x v="1"/>
    <x v="0"/>
    <x v="96"/>
    <x v="0"/>
    <x v="2"/>
    <x v="1"/>
    <b v="0"/>
    <m/>
    <s v="Southampton"/>
    <s v="yes"/>
    <b v="1"/>
    <n v="161"/>
    <n v="1"/>
    <n v="1.3007529461470349E+19"/>
  </r>
  <r>
    <b v="0"/>
    <x v="0"/>
    <x v="0"/>
    <x v="0"/>
    <x v="2"/>
    <x v="1"/>
    <x v="0"/>
    <x v="71"/>
    <x v="0"/>
    <x v="0"/>
    <x v="0"/>
    <b v="1"/>
    <m/>
    <s v="Southampton"/>
    <s v="no"/>
    <b v="1"/>
    <n v="162"/>
    <n v="1"/>
    <n v="9.8619705950913208E+18"/>
  </r>
  <r>
    <b v="0"/>
    <x v="0"/>
    <x v="0"/>
    <x v="0"/>
    <x v="34"/>
    <x v="1"/>
    <x v="0"/>
    <x v="51"/>
    <x v="0"/>
    <x v="0"/>
    <x v="0"/>
    <b v="1"/>
    <m/>
    <s v="Southampton"/>
    <s v="no"/>
    <b v="1"/>
    <n v="163"/>
    <n v="1"/>
    <n v="1.8187236466206177E+19"/>
  </r>
  <r>
    <b v="0"/>
    <x v="0"/>
    <x v="0"/>
    <x v="0"/>
    <x v="58"/>
    <x v="3"/>
    <x v="1"/>
    <x v="40"/>
    <x v="0"/>
    <x v="0"/>
    <x v="2"/>
    <b v="0"/>
    <m/>
    <s v="Southampton"/>
    <s v="no"/>
    <b v="0"/>
    <n v="164"/>
    <n v="1"/>
    <n v="1.4816432417936185E+19"/>
  </r>
  <r>
    <b v="0"/>
    <x v="1"/>
    <x v="0"/>
    <x v="0"/>
    <x v="52"/>
    <x v="1"/>
    <x v="2"/>
    <x v="97"/>
    <x v="0"/>
    <x v="0"/>
    <x v="2"/>
    <b v="0"/>
    <m/>
    <s v="Southampton"/>
    <s v="yes"/>
    <b v="0"/>
    <n v="165"/>
    <n v="1"/>
    <n v="1.0357182808375824E+19"/>
  </r>
  <r>
    <b v="0"/>
    <x v="1"/>
    <x v="1"/>
    <x v="1"/>
    <x v="4"/>
    <x v="1"/>
    <x v="1"/>
    <x v="98"/>
    <x v="0"/>
    <x v="1"/>
    <x v="1"/>
    <b v="0"/>
    <s v="E"/>
    <s v="Southampton"/>
    <s v="yes"/>
    <b v="0"/>
    <n v="166"/>
    <n v="1"/>
    <n v="1.3523739031912897E+19"/>
  </r>
  <r>
    <b v="0"/>
    <x v="0"/>
    <x v="0"/>
    <x v="1"/>
    <x v="33"/>
    <x v="0"/>
    <x v="5"/>
    <x v="48"/>
    <x v="0"/>
    <x v="0"/>
    <x v="1"/>
    <b v="0"/>
    <m/>
    <s v="Southampton"/>
    <s v="no"/>
    <b v="0"/>
    <n v="167"/>
    <n v="1"/>
    <n v="5.8774258872025078E+18"/>
  </r>
  <r>
    <b v="0"/>
    <x v="0"/>
    <x v="1"/>
    <x v="0"/>
    <x v="4"/>
    <x v="1"/>
    <x v="0"/>
    <x v="99"/>
    <x v="0"/>
    <x v="1"/>
    <x v="0"/>
    <b v="1"/>
    <m/>
    <s v="Southampton"/>
    <s v="no"/>
    <b v="1"/>
    <n v="168"/>
    <n v="1"/>
    <n v="1.3504939025256237E+19"/>
  </r>
  <r>
    <b v="0"/>
    <x v="0"/>
    <x v="0"/>
    <x v="0"/>
    <x v="17"/>
    <x v="1"/>
    <x v="0"/>
    <x v="54"/>
    <x v="0"/>
    <x v="0"/>
    <x v="0"/>
    <b v="1"/>
    <m/>
    <s v="Southampton"/>
    <s v="no"/>
    <b v="1"/>
    <n v="169"/>
    <n v="1"/>
    <n v="6.9198100537553357E+18"/>
  </r>
  <r>
    <b v="0"/>
    <x v="0"/>
    <x v="1"/>
    <x v="0"/>
    <x v="59"/>
    <x v="1"/>
    <x v="0"/>
    <x v="100"/>
    <x v="0"/>
    <x v="1"/>
    <x v="0"/>
    <b v="1"/>
    <s v="B"/>
    <s v="Southampton"/>
    <s v="no"/>
    <b v="1"/>
    <n v="170"/>
    <n v="0"/>
    <n v="3.8908645470567132E+18"/>
  </r>
  <r>
    <b v="0"/>
    <x v="0"/>
    <x v="0"/>
    <x v="0"/>
    <x v="9"/>
    <x v="3"/>
    <x v="1"/>
    <x v="15"/>
    <x v="2"/>
    <x v="0"/>
    <x v="2"/>
    <b v="0"/>
    <m/>
    <s v="Queenstown"/>
    <s v="no"/>
    <b v="0"/>
    <n v="171"/>
    <n v="1"/>
    <n v="6.1750163490124902E+18"/>
  </r>
  <r>
    <b v="0"/>
    <x v="1"/>
    <x v="0"/>
    <x v="1"/>
    <x v="58"/>
    <x v="0"/>
    <x v="1"/>
    <x v="8"/>
    <x v="0"/>
    <x v="0"/>
    <x v="2"/>
    <b v="0"/>
    <m/>
    <s v="Southampton"/>
    <s v="yes"/>
    <b v="0"/>
    <n v="172"/>
    <n v="1"/>
    <n v="1.1827375033191846E+19"/>
  </r>
  <r>
    <b v="0"/>
    <x v="0"/>
    <x v="0"/>
    <x v="0"/>
    <x v="23"/>
    <x v="1"/>
    <x v="0"/>
    <x v="2"/>
    <x v="0"/>
    <x v="0"/>
    <x v="0"/>
    <b v="1"/>
    <m/>
    <s v="Southampton"/>
    <s v="no"/>
    <b v="1"/>
    <n v="173"/>
    <n v="1"/>
    <n v="9.1758945732953876E+18"/>
  </r>
  <r>
    <b v="0"/>
    <x v="0"/>
    <x v="1"/>
    <x v="0"/>
    <x v="60"/>
    <x v="1"/>
    <x v="0"/>
    <x v="101"/>
    <x v="1"/>
    <x v="1"/>
    <x v="0"/>
    <b v="1"/>
    <s v="A"/>
    <s v="Cherbourg"/>
    <s v="no"/>
    <b v="1"/>
    <n v="174"/>
    <n v="0"/>
    <n v="4.7076667137378724E+18"/>
  </r>
  <r>
    <b v="0"/>
    <x v="0"/>
    <x v="0"/>
    <x v="0"/>
    <x v="24"/>
    <x v="0"/>
    <x v="1"/>
    <x v="13"/>
    <x v="0"/>
    <x v="0"/>
    <x v="0"/>
    <b v="1"/>
    <m/>
    <s v="Southampton"/>
    <s v="no"/>
    <b v="0"/>
    <n v="175"/>
    <n v="1"/>
    <n v="1.2994334704569727E+19"/>
  </r>
  <r>
    <b v="0"/>
    <x v="0"/>
    <x v="0"/>
    <x v="0"/>
    <x v="4"/>
    <x v="2"/>
    <x v="1"/>
    <x v="102"/>
    <x v="0"/>
    <x v="0"/>
    <x v="0"/>
    <b v="1"/>
    <m/>
    <s v="Southampton"/>
    <s v="no"/>
    <b v="0"/>
    <n v="176"/>
    <n v="1"/>
    <n v="1.7693055603515113E+19"/>
  </r>
  <r>
    <b v="0"/>
    <x v="0"/>
    <x v="1"/>
    <x v="1"/>
    <x v="61"/>
    <x v="1"/>
    <x v="0"/>
    <x v="103"/>
    <x v="1"/>
    <x v="1"/>
    <x v="1"/>
    <b v="0"/>
    <s v="C"/>
    <s v="Cherbourg"/>
    <s v="no"/>
    <b v="1"/>
    <n v="177"/>
    <n v="0"/>
    <n v="4.878188411448874E+18"/>
  </r>
  <r>
    <b v="0"/>
    <x v="0"/>
    <x v="2"/>
    <x v="0"/>
    <x v="39"/>
    <x v="1"/>
    <x v="0"/>
    <x v="16"/>
    <x v="0"/>
    <x v="2"/>
    <x v="0"/>
    <b v="1"/>
    <m/>
    <s v="Southampton"/>
    <s v="no"/>
    <b v="1"/>
    <n v="178"/>
    <n v="1"/>
    <n v="3.6688668182813312E+17"/>
  </r>
  <r>
    <b v="0"/>
    <x v="0"/>
    <x v="0"/>
    <x v="0"/>
    <x v="62"/>
    <x v="1"/>
    <x v="0"/>
    <x v="104"/>
    <x v="0"/>
    <x v="0"/>
    <x v="0"/>
    <b v="1"/>
    <m/>
    <s v="Southampton"/>
    <s v="no"/>
    <b v="1"/>
    <n v="179"/>
    <n v="1"/>
    <n v="1.7670188445524339E+19"/>
  </r>
  <r>
    <b v="0"/>
    <x v="0"/>
    <x v="0"/>
    <x v="1"/>
    <x v="4"/>
    <x v="6"/>
    <x v="2"/>
    <x v="94"/>
    <x v="0"/>
    <x v="0"/>
    <x v="1"/>
    <b v="0"/>
    <m/>
    <s v="Southampton"/>
    <s v="no"/>
    <b v="0"/>
    <n v="180"/>
    <n v="1"/>
    <n v="1.6542896052315556E+19"/>
  </r>
  <r>
    <b v="0"/>
    <x v="0"/>
    <x v="2"/>
    <x v="0"/>
    <x v="4"/>
    <x v="1"/>
    <x v="0"/>
    <x v="105"/>
    <x v="1"/>
    <x v="2"/>
    <x v="0"/>
    <b v="1"/>
    <m/>
    <s v="Cherbourg"/>
    <s v="no"/>
    <b v="1"/>
    <n v="181"/>
    <n v="1"/>
    <n v="3.1881027389949066E+18"/>
  </r>
  <r>
    <b v="0"/>
    <x v="0"/>
    <x v="0"/>
    <x v="0"/>
    <x v="52"/>
    <x v="3"/>
    <x v="2"/>
    <x v="22"/>
    <x v="0"/>
    <x v="0"/>
    <x v="2"/>
    <b v="0"/>
    <m/>
    <s v="Southampton"/>
    <s v="no"/>
    <b v="0"/>
    <n v="182"/>
    <n v="1"/>
    <n v="5.6876077923426918E+18"/>
  </r>
  <r>
    <b v="0"/>
    <x v="1"/>
    <x v="2"/>
    <x v="0"/>
    <x v="58"/>
    <x v="4"/>
    <x v="1"/>
    <x v="106"/>
    <x v="0"/>
    <x v="2"/>
    <x v="2"/>
    <b v="0"/>
    <s v="F"/>
    <s v="Southampton"/>
    <s v="yes"/>
    <b v="0"/>
    <n v="183"/>
    <n v="0"/>
    <n v="1.7935584125040234E+19"/>
  </r>
  <r>
    <b v="0"/>
    <x v="1"/>
    <x v="0"/>
    <x v="1"/>
    <x v="9"/>
    <x v="1"/>
    <x v="2"/>
    <x v="107"/>
    <x v="0"/>
    <x v="0"/>
    <x v="2"/>
    <b v="0"/>
    <m/>
    <s v="Southampton"/>
    <s v="yes"/>
    <b v="0"/>
    <n v="184"/>
    <n v="1"/>
    <n v="3.1824303878758139E+18"/>
  </r>
  <r>
    <b v="0"/>
    <x v="0"/>
    <x v="1"/>
    <x v="0"/>
    <x v="4"/>
    <x v="1"/>
    <x v="0"/>
    <x v="108"/>
    <x v="0"/>
    <x v="1"/>
    <x v="0"/>
    <b v="1"/>
    <s v="A"/>
    <s v="Southampton"/>
    <s v="no"/>
    <b v="1"/>
    <n v="185"/>
    <n v="1"/>
    <n v="7.2555684844458176E+17"/>
  </r>
  <r>
    <b v="0"/>
    <x v="1"/>
    <x v="0"/>
    <x v="1"/>
    <x v="4"/>
    <x v="0"/>
    <x v="0"/>
    <x v="37"/>
    <x v="2"/>
    <x v="0"/>
    <x v="1"/>
    <b v="0"/>
    <m/>
    <s v="Queenstown"/>
    <s v="yes"/>
    <b v="0"/>
    <n v="186"/>
    <n v="1"/>
    <n v="1.0659569543872019E+17"/>
  </r>
  <r>
    <b v="0"/>
    <x v="1"/>
    <x v="1"/>
    <x v="0"/>
    <x v="33"/>
    <x v="1"/>
    <x v="0"/>
    <x v="11"/>
    <x v="0"/>
    <x v="1"/>
    <x v="0"/>
    <b v="1"/>
    <m/>
    <s v="Southampton"/>
    <s v="yes"/>
    <b v="1"/>
    <n v="187"/>
    <n v="1"/>
    <n v="1.3035783274556961E+19"/>
  </r>
  <r>
    <b v="0"/>
    <x v="0"/>
    <x v="0"/>
    <x v="0"/>
    <x v="20"/>
    <x v="0"/>
    <x v="1"/>
    <x v="37"/>
    <x v="2"/>
    <x v="0"/>
    <x v="0"/>
    <b v="1"/>
    <m/>
    <s v="Queenstown"/>
    <s v="no"/>
    <b v="0"/>
    <n v="188"/>
    <n v="1"/>
    <n v="5.9371514532148193E+18"/>
  </r>
  <r>
    <b v="0"/>
    <x v="0"/>
    <x v="0"/>
    <x v="0"/>
    <x v="62"/>
    <x v="1"/>
    <x v="0"/>
    <x v="25"/>
    <x v="0"/>
    <x v="0"/>
    <x v="0"/>
    <b v="1"/>
    <m/>
    <s v="Southampton"/>
    <s v="no"/>
    <b v="1"/>
    <n v="189"/>
    <n v="1"/>
    <n v="7.8310462091701893E+18"/>
  </r>
  <r>
    <b v="0"/>
    <x v="1"/>
    <x v="2"/>
    <x v="1"/>
    <x v="35"/>
    <x v="1"/>
    <x v="0"/>
    <x v="16"/>
    <x v="0"/>
    <x v="2"/>
    <x v="1"/>
    <b v="0"/>
    <m/>
    <s v="Southampton"/>
    <s v="yes"/>
    <b v="1"/>
    <n v="190"/>
    <n v="1"/>
    <n v="1.0047400912753207E+19"/>
  </r>
  <r>
    <b v="0"/>
    <x v="0"/>
    <x v="2"/>
    <x v="0"/>
    <x v="19"/>
    <x v="1"/>
    <x v="0"/>
    <x v="16"/>
    <x v="0"/>
    <x v="2"/>
    <x v="0"/>
    <b v="1"/>
    <m/>
    <s v="Southampton"/>
    <s v="no"/>
    <b v="1"/>
    <n v="191"/>
    <n v="1"/>
    <n v="1.098795796232773E+19"/>
  </r>
  <r>
    <b v="0"/>
    <x v="1"/>
    <x v="0"/>
    <x v="1"/>
    <x v="19"/>
    <x v="0"/>
    <x v="0"/>
    <x v="13"/>
    <x v="0"/>
    <x v="0"/>
    <x v="1"/>
    <b v="0"/>
    <m/>
    <s v="Southampton"/>
    <s v="yes"/>
    <b v="0"/>
    <n v="192"/>
    <n v="1"/>
    <n v="4.4696981188847124E+18"/>
  </r>
  <r>
    <b v="0"/>
    <x v="1"/>
    <x v="2"/>
    <x v="0"/>
    <x v="25"/>
    <x v="0"/>
    <x v="1"/>
    <x v="19"/>
    <x v="0"/>
    <x v="2"/>
    <x v="2"/>
    <b v="0"/>
    <s v="F"/>
    <s v="Southampton"/>
    <s v="yes"/>
    <b v="0"/>
    <n v="193"/>
    <n v="0"/>
    <n v="1.0244870325343558E+19"/>
  </r>
  <r>
    <b v="0"/>
    <x v="1"/>
    <x v="1"/>
    <x v="1"/>
    <x v="57"/>
    <x v="1"/>
    <x v="0"/>
    <x v="26"/>
    <x v="1"/>
    <x v="1"/>
    <x v="1"/>
    <b v="0"/>
    <s v="B"/>
    <s v="Cherbourg"/>
    <s v="yes"/>
    <b v="1"/>
    <n v="194"/>
    <n v="0"/>
    <n v="1.0574783784360854E+19"/>
  </r>
  <r>
    <b v="0"/>
    <x v="1"/>
    <x v="1"/>
    <x v="1"/>
    <x v="10"/>
    <x v="1"/>
    <x v="0"/>
    <x v="27"/>
    <x v="1"/>
    <x v="1"/>
    <x v="1"/>
    <b v="0"/>
    <s v="B"/>
    <s v="Cherbourg"/>
    <s v="yes"/>
    <b v="1"/>
    <n v="195"/>
    <n v="0"/>
    <n v="1.0605754906007579E+19"/>
  </r>
  <r>
    <b v="0"/>
    <x v="0"/>
    <x v="0"/>
    <x v="0"/>
    <x v="4"/>
    <x v="1"/>
    <x v="0"/>
    <x v="28"/>
    <x v="2"/>
    <x v="0"/>
    <x v="0"/>
    <b v="1"/>
    <m/>
    <s v="Queenstown"/>
    <s v="no"/>
    <b v="1"/>
    <n v="196"/>
    <n v="1"/>
    <n v="1.3845021529109361E+19"/>
  </r>
  <r>
    <b v="0"/>
    <x v="0"/>
    <x v="0"/>
    <x v="0"/>
    <x v="22"/>
    <x v="1"/>
    <x v="1"/>
    <x v="109"/>
    <x v="0"/>
    <x v="0"/>
    <x v="0"/>
    <b v="1"/>
    <m/>
    <s v="Southampton"/>
    <s v="no"/>
    <b v="0"/>
    <n v="197"/>
    <n v="1"/>
    <n v="1.1133555836060778E+19"/>
  </r>
  <r>
    <b v="0"/>
    <x v="1"/>
    <x v="0"/>
    <x v="1"/>
    <x v="4"/>
    <x v="1"/>
    <x v="0"/>
    <x v="28"/>
    <x v="2"/>
    <x v="0"/>
    <x v="1"/>
    <b v="0"/>
    <m/>
    <s v="Queenstown"/>
    <s v="yes"/>
    <b v="1"/>
    <n v="198"/>
    <n v="1"/>
    <n v="3.7924790976158797E+18"/>
  </r>
  <r>
    <b v="0"/>
    <x v="0"/>
    <x v="2"/>
    <x v="1"/>
    <x v="42"/>
    <x v="1"/>
    <x v="0"/>
    <x v="16"/>
    <x v="0"/>
    <x v="2"/>
    <x v="1"/>
    <b v="0"/>
    <m/>
    <s v="Southampton"/>
    <s v="no"/>
    <b v="1"/>
    <n v="199"/>
    <n v="1"/>
    <n v="1.488612068514985E+19"/>
  </r>
  <r>
    <b v="0"/>
    <x v="0"/>
    <x v="0"/>
    <x v="0"/>
    <x v="17"/>
    <x v="1"/>
    <x v="0"/>
    <x v="59"/>
    <x v="0"/>
    <x v="0"/>
    <x v="0"/>
    <b v="1"/>
    <m/>
    <s v="Southampton"/>
    <s v="no"/>
    <b v="1"/>
    <n v="200"/>
    <n v="1"/>
    <n v="1.5489269413227366E+19"/>
  </r>
  <r>
    <b v="0"/>
    <x v="0"/>
    <x v="0"/>
    <x v="0"/>
    <x v="4"/>
    <x v="6"/>
    <x v="2"/>
    <x v="94"/>
    <x v="0"/>
    <x v="0"/>
    <x v="0"/>
    <b v="1"/>
    <m/>
    <s v="Southampton"/>
    <s v="no"/>
    <b v="0"/>
    <n v="201"/>
    <n v="1"/>
    <n v="7.3160359148912466E+18"/>
  </r>
  <r>
    <b v="0"/>
    <x v="0"/>
    <x v="0"/>
    <x v="0"/>
    <x v="15"/>
    <x v="1"/>
    <x v="0"/>
    <x v="110"/>
    <x v="0"/>
    <x v="0"/>
    <x v="0"/>
    <b v="1"/>
    <m/>
    <s v="Southampton"/>
    <s v="no"/>
    <b v="1"/>
    <n v="202"/>
    <n v="1"/>
    <n v="1.8023753846955233E+19"/>
  </r>
  <r>
    <b v="0"/>
    <x v="0"/>
    <x v="0"/>
    <x v="0"/>
    <x v="63"/>
    <x v="1"/>
    <x v="0"/>
    <x v="18"/>
    <x v="1"/>
    <x v="0"/>
    <x v="0"/>
    <b v="1"/>
    <m/>
    <s v="Cherbourg"/>
    <s v="no"/>
    <b v="1"/>
    <n v="203"/>
    <n v="1"/>
    <n v="8.1843273748985866E+18"/>
  </r>
  <r>
    <b v="0"/>
    <x v="1"/>
    <x v="0"/>
    <x v="0"/>
    <x v="24"/>
    <x v="1"/>
    <x v="0"/>
    <x v="4"/>
    <x v="0"/>
    <x v="0"/>
    <x v="0"/>
    <b v="1"/>
    <m/>
    <s v="Southampton"/>
    <s v="yes"/>
    <b v="1"/>
    <n v="204"/>
    <n v="1"/>
    <n v="2.3576127800108186E+18"/>
  </r>
  <r>
    <b v="0"/>
    <x v="0"/>
    <x v="0"/>
    <x v="1"/>
    <x v="6"/>
    <x v="1"/>
    <x v="1"/>
    <x v="111"/>
    <x v="0"/>
    <x v="0"/>
    <x v="2"/>
    <b v="0"/>
    <s v="G"/>
    <s v="Southampton"/>
    <s v="no"/>
    <b v="0"/>
    <n v="205"/>
    <n v="0"/>
    <n v="1.5922819217444684E+19"/>
  </r>
  <r>
    <b v="0"/>
    <x v="0"/>
    <x v="0"/>
    <x v="0"/>
    <x v="35"/>
    <x v="0"/>
    <x v="0"/>
    <x v="62"/>
    <x v="0"/>
    <x v="0"/>
    <x v="0"/>
    <b v="1"/>
    <m/>
    <s v="Southampton"/>
    <s v="no"/>
    <b v="0"/>
    <n v="206"/>
    <n v="1"/>
    <n v="4.2598501930160061E+18"/>
  </r>
  <r>
    <b v="0"/>
    <x v="1"/>
    <x v="0"/>
    <x v="0"/>
    <x v="2"/>
    <x v="1"/>
    <x v="0"/>
    <x v="112"/>
    <x v="1"/>
    <x v="0"/>
    <x v="0"/>
    <b v="1"/>
    <m/>
    <s v="Cherbourg"/>
    <s v="yes"/>
    <b v="1"/>
    <n v="207"/>
    <n v="1"/>
    <n v="1.1122661291503995E+19"/>
  </r>
  <r>
    <b v="0"/>
    <x v="1"/>
    <x v="0"/>
    <x v="1"/>
    <x v="36"/>
    <x v="1"/>
    <x v="0"/>
    <x v="28"/>
    <x v="2"/>
    <x v="0"/>
    <x v="1"/>
    <b v="0"/>
    <m/>
    <s v="Queenstown"/>
    <s v="yes"/>
    <b v="1"/>
    <n v="208"/>
    <n v="1"/>
    <n v="1.5705024975942438E+18"/>
  </r>
  <r>
    <b v="0"/>
    <x v="1"/>
    <x v="1"/>
    <x v="0"/>
    <x v="20"/>
    <x v="1"/>
    <x v="0"/>
    <x v="113"/>
    <x v="1"/>
    <x v="1"/>
    <x v="0"/>
    <b v="1"/>
    <s v="A"/>
    <s v="Cherbourg"/>
    <s v="yes"/>
    <b v="1"/>
    <n v="209"/>
    <n v="0"/>
    <n v="1.0578956183699241E+19"/>
  </r>
  <r>
    <b v="0"/>
    <x v="0"/>
    <x v="0"/>
    <x v="0"/>
    <x v="42"/>
    <x v="1"/>
    <x v="0"/>
    <x v="79"/>
    <x v="0"/>
    <x v="0"/>
    <x v="0"/>
    <b v="1"/>
    <m/>
    <s v="Southampton"/>
    <s v="no"/>
    <b v="1"/>
    <n v="210"/>
    <n v="1"/>
    <n v="1.0622591124007506E+19"/>
  </r>
  <r>
    <b v="0"/>
    <x v="1"/>
    <x v="2"/>
    <x v="1"/>
    <x v="3"/>
    <x v="1"/>
    <x v="0"/>
    <x v="35"/>
    <x v="0"/>
    <x v="2"/>
    <x v="1"/>
    <b v="0"/>
    <m/>
    <s v="Southampton"/>
    <s v="yes"/>
    <b v="1"/>
    <n v="211"/>
    <n v="1"/>
    <n v="1.5502339407102614E+19"/>
  </r>
  <r>
    <b v="0"/>
    <x v="0"/>
    <x v="0"/>
    <x v="0"/>
    <x v="0"/>
    <x v="1"/>
    <x v="0"/>
    <x v="0"/>
    <x v="0"/>
    <x v="0"/>
    <x v="0"/>
    <b v="1"/>
    <m/>
    <s v="Southampton"/>
    <s v="no"/>
    <b v="1"/>
    <n v="212"/>
    <n v="1"/>
    <n v="1.7484204995168899E+19"/>
  </r>
  <r>
    <b v="0"/>
    <x v="0"/>
    <x v="2"/>
    <x v="0"/>
    <x v="39"/>
    <x v="1"/>
    <x v="0"/>
    <x v="16"/>
    <x v="0"/>
    <x v="2"/>
    <x v="0"/>
    <b v="1"/>
    <m/>
    <s v="Southampton"/>
    <s v="no"/>
    <b v="1"/>
    <n v="213"/>
    <n v="1"/>
    <n v="4.8918696357322465E+18"/>
  </r>
  <r>
    <b v="0"/>
    <x v="0"/>
    <x v="0"/>
    <x v="0"/>
    <x v="4"/>
    <x v="0"/>
    <x v="0"/>
    <x v="28"/>
    <x v="2"/>
    <x v="0"/>
    <x v="0"/>
    <b v="1"/>
    <m/>
    <s v="Queenstown"/>
    <s v="no"/>
    <b v="0"/>
    <n v="214"/>
    <n v="1"/>
    <n v="1.4316368221733523E+19"/>
  </r>
  <r>
    <b v="0"/>
    <x v="1"/>
    <x v="1"/>
    <x v="1"/>
    <x v="14"/>
    <x v="0"/>
    <x v="0"/>
    <x v="114"/>
    <x v="1"/>
    <x v="1"/>
    <x v="1"/>
    <b v="0"/>
    <s v="D"/>
    <s v="Cherbourg"/>
    <s v="yes"/>
    <b v="0"/>
    <n v="215"/>
    <n v="0"/>
    <n v="1.7957238863090801E+19"/>
  </r>
  <r>
    <b v="0"/>
    <x v="1"/>
    <x v="0"/>
    <x v="1"/>
    <x v="7"/>
    <x v="1"/>
    <x v="0"/>
    <x v="2"/>
    <x v="0"/>
    <x v="0"/>
    <x v="1"/>
    <b v="0"/>
    <m/>
    <s v="Southampton"/>
    <s v="yes"/>
    <b v="1"/>
    <n v="216"/>
    <n v="1"/>
    <n v="1.0375618777938903E+19"/>
  </r>
  <r>
    <b v="0"/>
    <x v="0"/>
    <x v="2"/>
    <x v="0"/>
    <x v="22"/>
    <x v="0"/>
    <x v="0"/>
    <x v="115"/>
    <x v="0"/>
    <x v="2"/>
    <x v="0"/>
    <b v="1"/>
    <m/>
    <s v="Southampton"/>
    <s v="no"/>
    <b v="0"/>
    <n v="217"/>
    <n v="1"/>
    <n v="1.537372760941546E+18"/>
  </r>
  <r>
    <b v="0"/>
    <x v="1"/>
    <x v="1"/>
    <x v="1"/>
    <x v="35"/>
    <x v="1"/>
    <x v="0"/>
    <x v="116"/>
    <x v="1"/>
    <x v="1"/>
    <x v="1"/>
    <b v="0"/>
    <s v="D"/>
    <s v="Cherbourg"/>
    <s v="yes"/>
    <b v="1"/>
    <n v="218"/>
    <n v="0"/>
    <n v="1.7689472740642918E+19"/>
  </r>
  <r>
    <b v="0"/>
    <x v="0"/>
    <x v="2"/>
    <x v="0"/>
    <x v="39"/>
    <x v="1"/>
    <x v="0"/>
    <x v="29"/>
    <x v="0"/>
    <x v="2"/>
    <x v="0"/>
    <b v="1"/>
    <m/>
    <s v="Southampton"/>
    <s v="no"/>
    <b v="1"/>
    <n v="219"/>
    <n v="1"/>
    <n v="9.8245970433183355E+18"/>
  </r>
  <r>
    <b v="0"/>
    <x v="1"/>
    <x v="0"/>
    <x v="0"/>
    <x v="36"/>
    <x v="1"/>
    <x v="0"/>
    <x v="4"/>
    <x v="0"/>
    <x v="0"/>
    <x v="0"/>
    <b v="1"/>
    <m/>
    <s v="Southampton"/>
    <s v="yes"/>
    <b v="1"/>
    <n v="220"/>
    <n v="1"/>
    <n v="6.5183355944661002E+18"/>
  </r>
  <r>
    <b v="0"/>
    <x v="0"/>
    <x v="2"/>
    <x v="0"/>
    <x v="7"/>
    <x v="1"/>
    <x v="0"/>
    <x v="16"/>
    <x v="0"/>
    <x v="2"/>
    <x v="0"/>
    <b v="1"/>
    <m/>
    <s v="Southampton"/>
    <s v="no"/>
    <b v="1"/>
    <n v="221"/>
    <n v="1"/>
    <n v="4.6194496464522619E+18"/>
  </r>
  <r>
    <b v="0"/>
    <x v="0"/>
    <x v="0"/>
    <x v="0"/>
    <x v="54"/>
    <x v="1"/>
    <x v="0"/>
    <x v="4"/>
    <x v="0"/>
    <x v="0"/>
    <x v="0"/>
    <b v="1"/>
    <m/>
    <s v="Southampton"/>
    <s v="no"/>
    <b v="1"/>
    <n v="222"/>
    <n v="1"/>
    <n v="1.3538967010214095E+19"/>
  </r>
  <r>
    <b v="0"/>
    <x v="0"/>
    <x v="0"/>
    <x v="0"/>
    <x v="4"/>
    <x v="1"/>
    <x v="0"/>
    <x v="25"/>
    <x v="0"/>
    <x v="0"/>
    <x v="0"/>
    <b v="1"/>
    <m/>
    <s v="Southampton"/>
    <s v="no"/>
    <b v="1"/>
    <n v="223"/>
    <n v="1"/>
    <n v="1.0197240348848968E+19"/>
  </r>
  <r>
    <b v="0"/>
    <x v="1"/>
    <x v="1"/>
    <x v="0"/>
    <x v="1"/>
    <x v="0"/>
    <x v="0"/>
    <x v="117"/>
    <x v="0"/>
    <x v="1"/>
    <x v="0"/>
    <b v="1"/>
    <s v="C"/>
    <s v="Southampton"/>
    <s v="yes"/>
    <b v="0"/>
    <n v="224"/>
    <n v="0"/>
    <n v="2.97755021648032E+17"/>
  </r>
  <r>
    <b v="0"/>
    <x v="0"/>
    <x v="0"/>
    <x v="0"/>
    <x v="0"/>
    <x v="1"/>
    <x v="0"/>
    <x v="118"/>
    <x v="0"/>
    <x v="0"/>
    <x v="0"/>
    <b v="1"/>
    <m/>
    <s v="Southampton"/>
    <s v="no"/>
    <b v="1"/>
    <n v="225"/>
    <n v="1"/>
    <n v="2.2772228392362775E+18"/>
  </r>
  <r>
    <b v="0"/>
    <x v="1"/>
    <x v="2"/>
    <x v="0"/>
    <x v="19"/>
    <x v="1"/>
    <x v="0"/>
    <x v="29"/>
    <x v="0"/>
    <x v="2"/>
    <x v="0"/>
    <b v="1"/>
    <m/>
    <s v="Southampton"/>
    <s v="yes"/>
    <b v="1"/>
    <n v="226"/>
    <n v="1"/>
    <n v="1.4015651854416847E+19"/>
  </r>
  <r>
    <b v="0"/>
    <x v="0"/>
    <x v="0"/>
    <x v="0"/>
    <x v="64"/>
    <x v="1"/>
    <x v="0"/>
    <x v="0"/>
    <x v="0"/>
    <x v="0"/>
    <x v="0"/>
    <b v="1"/>
    <m/>
    <s v="Southampton"/>
    <s v="no"/>
    <b v="1"/>
    <n v="227"/>
    <n v="1"/>
    <n v="8.0164952310424064E+18"/>
  </r>
  <r>
    <b v="0"/>
    <x v="0"/>
    <x v="2"/>
    <x v="0"/>
    <x v="24"/>
    <x v="1"/>
    <x v="0"/>
    <x v="16"/>
    <x v="0"/>
    <x v="2"/>
    <x v="0"/>
    <b v="1"/>
    <m/>
    <s v="Southampton"/>
    <s v="no"/>
    <b v="1"/>
    <n v="228"/>
    <n v="1"/>
    <n v="2.8653751487245251E+18"/>
  </r>
  <r>
    <b v="0"/>
    <x v="0"/>
    <x v="0"/>
    <x v="1"/>
    <x v="4"/>
    <x v="2"/>
    <x v="1"/>
    <x v="102"/>
    <x v="0"/>
    <x v="0"/>
    <x v="1"/>
    <b v="0"/>
    <m/>
    <s v="Southampton"/>
    <s v="no"/>
    <b v="0"/>
    <n v="229"/>
    <n v="1"/>
    <n v="1.4842244420944924E+18"/>
  </r>
  <r>
    <b v="0"/>
    <x v="1"/>
    <x v="1"/>
    <x v="1"/>
    <x v="3"/>
    <x v="0"/>
    <x v="0"/>
    <x v="47"/>
    <x v="0"/>
    <x v="1"/>
    <x v="1"/>
    <b v="0"/>
    <s v="C"/>
    <s v="Southampton"/>
    <s v="yes"/>
    <b v="0"/>
    <n v="230"/>
    <n v="0"/>
    <n v="1.0930563312467661E+19"/>
  </r>
  <r>
    <b v="0"/>
    <x v="0"/>
    <x v="0"/>
    <x v="0"/>
    <x v="28"/>
    <x v="1"/>
    <x v="0"/>
    <x v="71"/>
    <x v="0"/>
    <x v="0"/>
    <x v="0"/>
    <b v="1"/>
    <m/>
    <s v="Southampton"/>
    <s v="no"/>
    <b v="1"/>
    <n v="231"/>
    <n v="1"/>
    <n v="9.0716254648800379E+18"/>
  </r>
  <r>
    <b v="0"/>
    <x v="0"/>
    <x v="2"/>
    <x v="0"/>
    <x v="44"/>
    <x v="1"/>
    <x v="0"/>
    <x v="119"/>
    <x v="0"/>
    <x v="2"/>
    <x v="0"/>
    <b v="1"/>
    <m/>
    <s v="Southampton"/>
    <s v="no"/>
    <b v="1"/>
    <n v="232"/>
    <n v="1"/>
    <n v="1.4523298486175329E+18"/>
  </r>
  <r>
    <b v="0"/>
    <x v="1"/>
    <x v="0"/>
    <x v="1"/>
    <x v="31"/>
    <x v="3"/>
    <x v="2"/>
    <x v="22"/>
    <x v="0"/>
    <x v="0"/>
    <x v="2"/>
    <b v="0"/>
    <m/>
    <s v="Southampton"/>
    <s v="yes"/>
    <b v="0"/>
    <n v="233"/>
    <n v="1"/>
    <n v="5.8403075939823247E+18"/>
  </r>
  <r>
    <b v="0"/>
    <x v="0"/>
    <x v="2"/>
    <x v="0"/>
    <x v="42"/>
    <x v="1"/>
    <x v="0"/>
    <x v="29"/>
    <x v="0"/>
    <x v="2"/>
    <x v="0"/>
    <b v="1"/>
    <m/>
    <s v="Southampton"/>
    <s v="no"/>
    <b v="1"/>
    <n v="234"/>
    <n v="1"/>
    <n v="6.0285657156478065E+18"/>
  </r>
  <r>
    <b v="0"/>
    <x v="0"/>
    <x v="0"/>
    <x v="1"/>
    <x v="4"/>
    <x v="1"/>
    <x v="0"/>
    <x v="120"/>
    <x v="0"/>
    <x v="0"/>
    <x v="1"/>
    <b v="0"/>
    <m/>
    <s v="Southampton"/>
    <s v="no"/>
    <b v="1"/>
    <n v="235"/>
    <n v="1"/>
    <n v="8.2164565283099904E+16"/>
  </r>
  <r>
    <b v="0"/>
    <x v="0"/>
    <x v="2"/>
    <x v="0"/>
    <x v="57"/>
    <x v="0"/>
    <x v="0"/>
    <x v="19"/>
    <x v="0"/>
    <x v="2"/>
    <x v="0"/>
    <b v="1"/>
    <m/>
    <s v="Southampton"/>
    <s v="no"/>
    <b v="0"/>
    <n v="236"/>
    <n v="1"/>
    <n v="1.7096059777093448E+19"/>
  </r>
  <r>
    <b v="0"/>
    <x v="1"/>
    <x v="2"/>
    <x v="1"/>
    <x v="18"/>
    <x v="1"/>
    <x v="2"/>
    <x v="121"/>
    <x v="0"/>
    <x v="2"/>
    <x v="2"/>
    <b v="0"/>
    <m/>
    <s v="Southampton"/>
    <s v="yes"/>
    <b v="0"/>
    <n v="237"/>
    <n v="1"/>
    <n v="1.6741466078056757E+19"/>
  </r>
  <r>
    <b v="0"/>
    <x v="0"/>
    <x v="2"/>
    <x v="0"/>
    <x v="19"/>
    <x v="1"/>
    <x v="0"/>
    <x v="29"/>
    <x v="0"/>
    <x v="2"/>
    <x v="0"/>
    <b v="1"/>
    <m/>
    <s v="Southampton"/>
    <s v="no"/>
    <b v="1"/>
    <n v="238"/>
    <n v="1"/>
    <n v="1.1131787818818458E+19"/>
  </r>
  <r>
    <b v="0"/>
    <x v="0"/>
    <x v="2"/>
    <x v="0"/>
    <x v="40"/>
    <x v="1"/>
    <x v="0"/>
    <x v="122"/>
    <x v="0"/>
    <x v="2"/>
    <x v="0"/>
    <b v="1"/>
    <m/>
    <s v="Southampton"/>
    <s v="no"/>
    <b v="1"/>
    <n v="239"/>
    <n v="1"/>
    <n v="1.821924064242475E+19"/>
  </r>
  <r>
    <b v="0"/>
    <x v="0"/>
    <x v="0"/>
    <x v="1"/>
    <x v="4"/>
    <x v="0"/>
    <x v="0"/>
    <x v="53"/>
    <x v="1"/>
    <x v="0"/>
    <x v="1"/>
    <b v="0"/>
    <m/>
    <s v="Cherbourg"/>
    <s v="no"/>
    <b v="0"/>
    <n v="240"/>
    <n v="1"/>
    <n v="1.0833183377223791E+19"/>
  </r>
  <r>
    <b v="0"/>
    <x v="1"/>
    <x v="0"/>
    <x v="1"/>
    <x v="4"/>
    <x v="0"/>
    <x v="0"/>
    <x v="37"/>
    <x v="2"/>
    <x v="0"/>
    <x v="1"/>
    <b v="0"/>
    <m/>
    <s v="Queenstown"/>
    <s v="yes"/>
    <b v="0"/>
    <n v="241"/>
    <n v="1"/>
    <n v="2.3078764438240159E+18"/>
  </r>
  <r>
    <b v="0"/>
    <x v="0"/>
    <x v="2"/>
    <x v="0"/>
    <x v="28"/>
    <x v="1"/>
    <x v="0"/>
    <x v="29"/>
    <x v="0"/>
    <x v="2"/>
    <x v="0"/>
    <b v="1"/>
    <m/>
    <s v="Southampton"/>
    <s v="no"/>
    <b v="1"/>
    <n v="242"/>
    <n v="1"/>
    <n v="1.5178010660352461E+18"/>
  </r>
  <r>
    <b v="0"/>
    <x v="0"/>
    <x v="0"/>
    <x v="0"/>
    <x v="0"/>
    <x v="1"/>
    <x v="0"/>
    <x v="123"/>
    <x v="0"/>
    <x v="0"/>
    <x v="0"/>
    <b v="1"/>
    <m/>
    <s v="Southampton"/>
    <s v="no"/>
    <b v="1"/>
    <n v="243"/>
    <n v="1"/>
    <n v="6.8304186566010071E+18"/>
  </r>
  <r>
    <b v="0"/>
    <x v="0"/>
    <x v="0"/>
    <x v="0"/>
    <x v="39"/>
    <x v="1"/>
    <x v="0"/>
    <x v="18"/>
    <x v="1"/>
    <x v="0"/>
    <x v="0"/>
    <b v="1"/>
    <m/>
    <s v="Cherbourg"/>
    <s v="no"/>
    <b v="1"/>
    <n v="244"/>
    <n v="1"/>
    <n v="1.7823732055085597E+19"/>
  </r>
  <r>
    <b v="0"/>
    <x v="0"/>
    <x v="1"/>
    <x v="0"/>
    <x v="57"/>
    <x v="4"/>
    <x v="0"/>
    <x v="117"/>
    <x v="2"/>
    <x v="1"/>
    <x v="0"/>
    <b v="1"/>
    <s v="C"/>
    <s v="Queenstown"/>
    <s v="no"/>
    <b v="0"/>
    <n v="245"/>
    <n v="0"/>
    <n v="6.141486603491561E+17"/>
  </r>
  <r>
    <b v="0"/>
    <x v="0"/>
    <x v="0"/>
    <x v="1"/>
    <x v="37"/>
    <x v="1"/>
    <x v="0"/>
    <x v="71"/>
    <x v="0"/>
    <x v="0"/>
    <x v="1"/>
    <b v="0"/>
    <m/>
    <s v="Southampton"/>
    <s v="no"/>
    <b v="1"/>
    <n v="246"/>
    <n v="1"/>
    <n v="5.3670218353610332E+18"/>
  </r>
  <r>
    <b v="0"/>
    <x v="1"/>
    <x v="2"/>
    <x v="1"/>
    <x v="42"/>
    <x v="1"/>
    <x v="2"/>
    <x v="80"/>
    <x v="0"/>
    <x v="2"/>
    <x v="1"/>
    <b v="0"/>
    <m/>
    <s v="Southampton"/>
    <s v="yes"/>
    <b v="0"/>
    <n v="247"/>
    <n v="1"/>
    <n v="1.4064394810139945E+19"/>
  </r>
  <r>
    <b v="0"/>
    <x v="1"/>
    <x v="1"/>
    <x v="0"/>
    <x v="46"/>
    <x v="0"/>
    <x v="1"/>
    <x v="124"/>
    <x v="0"/>
    <x v="1"/>
    <x v="0"/>
    <b v="1"/>
    <s v="D"/>
    <s v="Southampton"/>
    <s v="yes"/>
    <b v="0"/>
    <n v="248"/>
    <n v="0"/>
    <n v="4.0175937594506849E+18"/>
  </r>
  <r>
    <b v="0"/>
    <x v="0"/>
    <x v="2"/>
    <x v="0"/>
    <x v="5"/>
    <x v="0"/>
    <x v="0"/>
    <x v="19"/>
    <x v="0"/>
    <x v="2"/>
    <x v="0"/>
    <b v="1"/>
    <m/>
    <s v="Southampton"/>
    <s v="no"/>
    <b v="0"/>
    <n v="249"/>
    <n v="1"/>
    <n v="5.6038268506328504E+18"/>
  </r>
  <r>
    <b v="0"/>
    <x v="0"/>
    <x v="0"/>
    <x v="0"/>
    <x v="4"/>
    <x v="1"/>
    <x v="0"/>
    <x v="0"/>
    <x v="0"/>
    <x v="0"/>
    <x v="0"/>
    <b v="1"/>
    <m/>
    <s v="Southampton"/>
    <s v="no"/>
    <b v="1"/>
    <n v="250"/>
    <n v="1"/>
    <n v="1.607102983432917E+19"/>
  </r>
  <r>
    <b v="0"/>
    <x v="0"/>
    <x v="0"/>
    <x v="1"/>
    <x v="28"/>
    <x v="0"/>
    <x v="1"/>
    <x v="111"/>
    <x v="0"/>
    <x v="0"/>
    <x v="1"/>
    <b v="0"/>
    <s v="G"/>
    <s v="Southampton"/>
    <s v="no"/>
    <b v="0"/>
    <n v="251"/>
    <n v="0"/>
    <n v="1.3869217580947454E+19"/>
  </r>
  <r>
    <b v="0"/>
    <x v="0"/>
    <x v="1"/>
    <x v="0"/>
    <x v="65"/>
    <x v="1"/>
    <x v="0"/>
    <x v="11"/>
    <x v="0"/>
    <x v="1"/>
    <x v="0"/>
    <b v="1"/>
    <s v="C"/>
    <s v="Southampton"/>
    <s v="no"/>
    <b v="1"/>
    <n v="252"/>
    <n v="0"/>
    <n v="1.7190897342563127E+19"/>
  </r>
  <r>
    <b v="0"/>
    <x v="0"/>
    <x v="0"/>
    <x v="0"/>
    <x v="39"/>
    <x v="0"/>
    <x v="0"/>
    <x v="95"/>
    <x v="0"/>
    <x v="0"/>
    <x v="0"/>
    <b v="1"/>
    <m/>
    <s v="Southampton"/>
    <s v="no"/>
    <b v="0"/>
    <n v="253"/>
    <n v="1"/>
    <n v="5.5323583193473802E+18"/>
  </r>
  <r>
    <b v="0"/>
    <x v="0"/>
    <x v="0"/>
    <x v="1"/>
    <x v="66"/>
    <x v="1"/>
    <x v="2"/>
    <x v="125"/>
    <x v="0"/>
    <x v="0"/>
    <x v="1"/>
    <b v="0"/>
    <m/>
    <s v="Southampton"/>
    <s v="no"/>
    <b v="0"/>
    <n v="254"/>
    <n v="1"/>
    <n v="2.1496054904320538E+18"/>
  </r>
  <r>
    <b v="0"/>
    <x v="1"/>
    <x v="0"/>
    <x v="1"/>
    <x v="28"/>
    <x v="1"/>
    <x v="2"/>
    <x v="49"/>
    <x v="1"/>
    <x v="0"/>
    <x v="1"/>
    <b v="0"/>
    <m/>
    <s v="Cherbourg"/>
    <s v="yes"/>
    <b v="0"/>
    <n v="255"/>
    <n v="1"/>
    <n v="5.1369512115562304E+17"/>
  </r>
  <r>
    <b v="0"/>
    <x v="1"/>
    <x v="1"/>
    <x v="1"/>
    <x v="4"/>
    <x v="1"/>
    <x v="0"/>
    <x v="84"/>
    <x v="1"/>
    <x v="1"/>
    <x v="1"/>
    <b v="0"/>
    <m/>
    <s v="Cherbourg"/>
    <s v="yes"/>
    <b v="1"/>
    <n v="256"/>
    <n v="1"/>
    <n v="9.3241349941808804E+18"/>
  </r>
  <r>
    <b v="0"/>
    <x v="1"/>
    <x v="1"/>
    <x v="1"/>
    <x v="39"/>
    <x v="1"/>
    <x v="0"/>
    <x v="126"/>
    <x v="0"/>
    <x v="1"/>
    <x v="1"/>
    <b v="0"/>
    <s v="B"/>
    <s v="Southampton"/>
    <s v="yes"/>
    <b v="1"/>
    <n v="257"/>
    <n v="0"/>
    <n v="1.1101572002349253E+19"/>
  </r>
  <r>
    <b v="0"/>
    <x v="1"/>
    <x v="1"/>
    <x v="1"/>
    <x v="3"/>
    <x v="1"/>
    <x v="0"/>
    <x v="127"/>
    <x v="1"/>
    <x v="1"/>
    <x v="1"/>
    <b v="0"/>
    <m/>
    <s v="Cherbourg"/>
    <s v="yes"/>
    <b v="1"/>
    <n v="258"/>
    <n v="1"/>
    <n v="1.1952454061299071E+19"/>
  </r>
  <r>
    <b v="0"/>
    <x v="1"/>
    <x v="2"/>
    <x v="1"/>
    <x v="61"/>
    <x v="1"/>
    <x v="1"/>
    <x v="19"/>
    <x v="0"/>
    <x v="2"/>
    <x v="1"/>
    <b v="0"/>
    <m/>
    <s v="Southampton"/>
    <s v="yes"/>
    <b v="0"/>
    <n v="259"/>
    <n v="1"/>
    <n v="9.9313714650615316E+18"/>
  </r>
  <r>
    <b v="0"/>
    <x v="0"/>
    <x v="0"/>
    <x v="0"/>
    <x v="4"/>
    <x v="1"/>
    <x v="0"/>
    <x v="28"/>
    <x v="2"/>
    <x v="0"/>
    <x v="0"/>
    <b v="1"/>
    <m/>
    <s v="Queenstown"/>
    <s v="no"/>
    <b v="1"/>
    <n v="260"/>
    <n v="1"/>
    <n v="1.1523908953585955E+19"/>
  </r>
  <r>
    <b v="0"/>
    <x v="1"/>
    <x v="0"/>
    <x v="0"/>
    <x v="25"/>
    <x v="3"/>
    <x v="2"/>
    <x v="22"/>
    <x v="0"/>
    <x v="0"/>
    <x v="2"/>
    <b v="0"/>
    <m/>
    <s v="Southampton"/>
    <s v="yes"/>
    <b v="0"/>
    <n v="261"/>
    <n v="1"/>
    <n v="1.4474540679963163E+19"/>
  </r>
  <r>
    <b v="0"/>
    <x v="0"/>
    <x v="1"/>
    <x v="0"/>
    <x v="67"/>
    <x v="0"/>
    <x v="1"/>
    <x v="128"/>
    <x v="0"/>
    <x v="1"/>
    <x v="0"/>
    <b v="1"/>
    <s v="E"/>
    <s v="Southampton"/>
    <s v="no"/>
    <b v="0"/>
    <n v="262"/>
    <n v="0"/>
    <n v="1.5382216142601069E+19"/>
  </r>
  <r>
    <b v="0"/>
    <x v="0"/>
    <x v="1"/>
    <x v="0"/>
    <x v="20"/>
    <x v="1"/>
    <x v="0"/>
    <x v="104"/>
    <x v="0"/>
    <x v="1"/>
    <x v="0"/>
    <b v="1"/>
    <s v="B"/>
    <s v="Southampton"/>
    <s v="no"/>
    <b v="1"/>
    <n v="263"/>
    <n v="0"/>
    <n v="1.8010466810284573E+19"/>
  </r>
  <r>
    <b v="0"/>
    <x v="0"/>
    <x v="0"/>
    <x v="1"/>
    <x v="4"/>
    <x v="1"/>
    <x v="0"/>
    <x v="28"/>
    <x v="2"/>
    <x v="0"/>
    <x v="1"/>
    <b v="0"/>
    <m/>
    <s v="Queenstown"/>
    <s v="no"/>
    <b v="1"/>
    <n v="264"/>
    <n v="1"/>
    <n v="9.6147544163464356E+18"/>
  </r>
  <r>
    <b v="0"/>
    <x v="0"/>
    <x v="2"/>
    <x v="0"/>
    <x v="62"/>
    <x v="1"/>
    <x v="0"/>
    <x v="29"/>
    <x v="0"/>
    <x v="2"/>
    <x v="0"/>
    <b v="1"/>
    <m/>
    <s v="Southampton"/>
    <s v="no"/>
    <b v="1"/>
    <n v="265"/>
    <n v="1"/>
    <n v="5.6749091317228155E+18"/>
  </r>
  <r>
    <b v="0"/>
    <x v="0"/>
    <x v="0"/>
    <x v="0"/>
    <x v="36"/>
    <x v="3"/>
    <x v="1"/>
    <x v="40"/>
    <x v="0"/>
    <x v="0"/>
    <x v="0"/>
    <b v="1"/>
    <m/>
    <s v="Southampton"/>
    <s v="no"/>
    <b v="0"/>
    <n v="266"/>
    <n v="1"/>
    <n v="1.1496317315804439E+19"/>
  </r>
  <r>
    <b v="0"/>
    <x v="1"/>
    <x v="0"/>
    <x v="0"/>
    <x v="37"/>
    <x v="0"/>
    <x v="0"/>
    <x v="71"/>
    <x v="0"/>
    <x v="0"/>
    <x v="0"/>
    <b v="1"/>
    <m/>
    <s v="Southampton"/>
    <s v="yes"/>
    <b v="0"/>
    <n v="267"/>
    <n v="1"/>
    <n v="1.4570193105939204E+19"/>
  </r>
  <r>
    <b v="0"/>
    <x v="1"/>
    <x v="1"/>
    <x v="1"/>
    <x v="10"/>
    <x v="1"/>
    <x v="1"/>
    <x v="129"/>
    <x v="0"/>
    <x v="1"/>
    <x v="1"/>
    <b v="0"/>
    <s v="C"/>
    <s v="Southampton"/>
    <s v="yes"/>
    <b v="0"/>
    <n v="268"/>
    <n v="0"/>
    <n v="1.1359291783240864E+19"/>
  </r>
  <r>
    <b v="0"/>
    <x v="1"/>
    <x v="1"/>
    <x v="1"/>
    <x v="3"/>
    <x v="1"/>
    <x v="0"/>
    <x v="130"/>
    <x v="0"/>
    <x v="1"/>
    <x v="1"/>
    <b v="0"/>
    <s v="C"/>
    <s v="Southampton"/>
    <s v="yes"/>
    <b v="1"/>
    <n v="269"/>
    <n v="0"/>
    <n v="2.0646618573011761E+18"/>
  </r>
  <r>
    <b v="0"/>
    <x v="0"/>
    <x v="1"/>
    <x v="0"/>
    <x v="4"/>
    <x v="1"/>
    <x v="0"/>
    <x v="113"/>
    <x v="0"/>
    <x v="1"/>
    <x v="0"/>
    <b v="1"/>
    <m/>
    <s v="Southampton"/>
    <s v="no"/>
    <b v="1"/>
    <n v="270"/>
    <n v="1"/>
    <n v="9.220577768681899E+18"/>
  </r>
  <r>
    <b v="0"/>
    <x v="1"/>
    <x v="0"/>
    <x v="0"/>
    <x v="37"/>
    <x v="1"/>
    <x v="0"/>
    <x v="104"/>
    <x v="0"/>
    <x v="0"/>
    <x v="0"/>
    <b v="1"/>
    <m/>
    <s v="Southampton"/>
    <s v="yes"/>
    <b v="1"/>
    <n v="271"/>
    <n v="1"/>
    <n v="8.783676188763221E+18"/>
  </r>
  <r>
    <b v="0"/>
    <x v="1"/>
    <x v="2"/>
    <x v="1"/>
    <x v="66"/>
    <x v="1"/>
    <x v="1"/>
    <x v="131"/>
    <x v="0"/>
    <x v="2"/>
    <x v="1"/>
    <b v="0"/>
    <m/>
    <s v="Southampton"/>
    <s v="yes"/>
    <b v="0"/>
    <n v="272"/>
    <n v="1"/>
    <n v="8.3937179542553869E+17"/>
  </r>
  <r>
    <b v="0"/>
    <x v="0"/>
    <x v="1"/>
    <x v="0"/>
    <x v="46"/>
    <x v="1"/>
    <x v="1"/>
    <x v="132"/>
    <x v="1"/>
    <x v="1"/>
    <x v="0"/>
    <b v="1"/>
    <s v="C"/>
    <s v="Cherbourg"/>
    <s v="no"/>
    <b v="0"/>
    <n v="273"/>
    <n v="0"/>
    <n v="8.0210571252438464E+17"/>
  </r>
  <r>
    <b v="0"/>
    <x v="1"/>
    <x v="0"/>
    <x v="1"/>
    <x v="4"/>
    <x v="1"/>
    <x v="0"/>
    <x v="28"/>
    <x v="2"/>
    <x v="0"/>
    <x v="1"/>
    <b v="0"/>
    <m/>
    <s v="Queenstown"/>
    <s v="yes"/>
    <b v="1"/>
    <n v="274"/>
    <n v="1"/>
    <n v="9.0483332226198794E+18"/>
  </r>
  <r>
    <b v="0"/>
    <x v="1"/>
    <x v="1"/>
    <x v="1"/>
    <x v="68"/>
    <x v="0"/>
    <x v="0"/>
    <x v="133"/>
    <x v="0"/>
    <x v="1"/>
    <x v="1"/>
    <b v="0"/>
    <s v="D"/>
    <s v="Southampton"/>
    <s v="yes"/>
    <b v="0"/>
    <n v="275"/>
    <n v="0"/>
    <n v="1.5080929777242663E+19"/>
  </r>
  <r>
    <b v="0"/>
    <x v="0"/>
    <x v="0"/>
    <x v="1"/>
    <x v="33"/>
    <x v="1"/>
    <x v="0"/>
    <x v="28"/>
    <x v="0"/>
    <x v="0"/>
    <x v="1"/>
    <b v="0"/>
    <m/>
    <s v="Southampton"/>
    <s v="no"/>
    <b v="1"/>
    <n v="276"/>
    <n v="1"/>
    <n v="2.4212102018905247E+18"/>
  </r>
  <r>
    <b v="0"/>
    <x v="0"/>
    <x v="2"/>
    <x v="0"/>
    <x v="4"/>
    <x v="1"/>
    <x v="0"/>
    <x v="104"/>
    <x v="0"/>
    <x v="2"/>
    <x v="0"/>
    <b v="1"/>
    <m/>
    <s v="Southampton"/>
    <s v="no"/>
    <b v="1"/>
    <n v="277"/>
    <n v="1"/>
    <n v="9.0088328998614016E+18"/>
  </r>
  <r>
    <b v="0"/>
    <x v="0"/>
    <x v="0"/>
    <x v="0"/>
    <x v="26"/>
    <x v="3"/>
    <x v="1"/>
    <x v="15"/>
    <x v="2"/>
    <x v="0"/>
    <x v="2"/>
    <b v="0"/>
    <m/>
    <s v="Queenstown"/>
    <s v="no"/>
    <b v="0"/>
    <n v="278"/>
    <n v="1"/>
    <n v="1.3266481715431967E+19"/>
  </r>
  <r>
    <b v="0"/>
    <x v="1"/>
    <x v="0"/>
    <x v="1"/>
    <x v="3"/>
    <x v="0"/>
    <x v="1"/>
    <x v="134"/>
    <x v="0"/>
    <x v="0"/>
    <x v="1"/>
    <b v="0"/>
    <m/>
    <s v="Southampton"/>
    <s v="yes"/>
    <b v="0"/>
    <n v="279"/>
    <n v="1"/>
    <n v="9.7813434760057754E+18"/>
  </r>
  <r>
    <b v="0"/>
    <x v="0"/>
    <x v="0"/>
    <x v="0"/>
    <x v="29"/>
    <x v="1"/>
    <x v="0"/>
    <x v="28"/>
    <x v="2"/>
    <x v="0"/>
    <x v="0"/>
    <b v="1"/>
    <m/>
    <s v="Queenstown"/>
    <s v="no"/>
    <b v="1"/>
    <n v="280"/>
    <n v="1"/>
    <n v="1.6912411493606982E+19"/>
  </r>
  <r>
    <b v="0"/>
    <x v="0"/>
    <x v="0"/>
    <x v="0"/>
    <x v="17"/>
    <x v="1"/>
    <x v="0"/>
    <x v="13"/>
    <x v="0"/>
    <x v="0"/>
    <x v="0"/>
    <b v="1"/>
    <m/>
    <s v="Southampton"/>
    <s v="no"/>
    <b v="1"/>
    <n v="281"/>
    <n v="1"/>
    <n v="1.3401352682624259E+18"/>
  </r>
  <r>
    <b v="0"/>
    <x v="0"/>
    <x v="0"/>
    <x v="0"/>
    <x v="36"/>
    <x v="1"/>
    <x v="0"/>
    <x v="59"/>
    <x v="0"/>
    <x v="0"/>
    <x v="0"/>
    <b v="1"/>
    <m/>
    <s v="Southampton"/>
    <s v="no"/>
    <b v="1"/>
    <n v="282"/>
    <n v="1"/>
    <n v="1.0743372513674113E+19"/>
  </r>
  <r>
    <b v="0"/>
    <x v="1"/>
    <x v="0"/>
    <x v="0"/>
    <x v="19"/>
    <x v="1"/>
    <x v="0"/>
    <x v="4"/>
    <x v="0"/>
    <x v="0"/>
    <x v="0"/>
    <b v="1"/>
    <m/>
    <s v="Southampton"/>
    <s v="yes"/>
    <b v="1"/>
    <n v="283"/>
    <n v="1"/>
    <n v="1.2494704479299541E+19"/>
  </r>
  <r>
    <b v="0"/>
    <x v="0"/>
    <x v="1"/>
    <x v="0"/>
    <x v="4"/>
    <x v="1"/>
    <x v="0"/>
    <x v="19"/>
    <x v="0"/>
    <x v="1"/>
    <x v="0"/>
    <b v="1"/>
    <s v="A"/>
    <s v="Southampton"/>
    <s v="no"/>
    <b v="1"/>
    <n v="284"/>
    <n v="1"/>
    <n v="1.3732442031656122E+19"/>
  </r>
  <r>
    <b v="0"/>
    <x v="0"/>
    <x v="0"/>
    <x v="0"/>
    <x v="40"/>
    <x v="1"/>
    <x v="0"/>
    <x v="51"/>
    <x v="1"/>
    <x v="0"/>
    <x v="0"/>
    <b v="1"/>
    <m/>
    <s v="Cherbourg"/>
    <s v="no"/>
    <b v="1"/>
    <n v="285"/>
    <n v="1"/>
    <n v="1.245944595724769E+18"/>
  </r>
  <r>
    <b v="0"/>
    <x v="1"/>
    <x v="0"/>
    <x v="0"/>
    <x v="39"/>
    <x v="1"/>
    <x v="0"/>
    <x v="59"/>
    <x v="0"/>
    <x v="0"/>
    <x v="0"/>
    <b v="1"/>
    <m/>
    <s v="Southampton"/>
    <s v="yes"/>
    <b v="1"/>
    <n v="286"/>
    <n v="1"/>
    <n v="1.0796925261537522E+19"/>
  </r>
  <r>
    <b v="0"/>
    <x v="0"/>
    <x v="0"/>
    <x v="0"/>
    <x v="0"/>
    <x v="1"/>
    <x v="0"/>
    <x v="25"/>
    <x v="0"/>
    <x v="0"/>
    <x v="0"/>
    <b v="1"/>
    <m/>
    <s v="Southampton"/>
    <s v="no"/>
    <b v="1"/>
    <n v="287"/>
    <n v="1"/>
    <n v="5.6192942338002555E+18"/>
  </r>
  <r>
    <b v="0"/>
    <x v="1"/>
    <x v="2"/>
    <x v="0"/>
    <x v="22"/>
    <x v="1"/>
    <x v="0"/>
    <x v="16"/>
    <x v="0"/>
    <x v="2"/>
    <x v="0"/>
    <b v="1"/>
    <m/>
    <s v="Southampton"/>
    <s v="yes"/>
    <b v="1"/>
    <n v="288"/>
    <n v="1"/>
    <n v="1.5435306377266911E+19"/>
  </r>
  <r>
    <b v="0"/>
    <x v="1"/>
    <x v="0"/>
    <x v="1"/>
    <x v="0"/>
    <x v="1"/>
    <x v="0"/>
    <x v="28"/>
    <x v="2"/>
    <x v="0"/>
    <x v="1"/>
    <b v="0"/>
    <m/>
    <s v="Queenstown"/>
    <s v="yes"/>
    <b v="1"/>
    <n v="289"/>
    <n v="1"/>
    <n v="1.5928617932702333E+19"/>
  </r>
  <r>
    <b v="0"/>
    <x v="1"/>
    <x v="1"/>
    <x v="1"/>
    <x v="2"/>
    <x v="1"/>
    <x v="0"/>
    <x v="135"/>
    <x v="0"/>
    <x v="1"/>
    <x v="1"/>
    <b v="0"/>
    <m/>
    <s v="Southampton"/>
    <s v="yes"/>
    <b v="1"/>
    <n v="290"/>
    <n v="1"/>
    <n v="1.8896181831838039E+18"/>
  </r>
  <r>
    <b v="0"/>
    <x v="1"/>
    <x v="1"/>
    <x v="1"/>
    <x v="19"/>
    <x v="0"/>
    <x v="0"/>
    <x v="136"/>
    <x v="1"/>
    <x v="1"/>
    <x v="1"/>
    <b v="0"/>
    <s v="B"/>
    <s v="Cherbourg"/>
    <s v="yes"/>
    <b v="0"/>
    <n v="291"/>
    <n v="0"/>
    <n v="1.645542147356432E+19"/>
  </r>
  <r>
    <b v="0"/>
    <x v="0"/>
    <x v="2"/>
    <x v="0"/>
    <x v="62"/>
    <x v="1"/>
    <x v="0"/>
    <x v="137"/>
    <x v="1"/>
    <x v="2"/>
    <x v="0"/>
    <b v="1"/>
    <s v="D"/>
    <s v="Cherbourg"/>
    <s v="no"/>
    <b v="1"/>
    <n v="292"/>
    <n v="0"/>
    <n v="6.8711801729786522E+18"/>
  </r>
  <r>
    <b v="0"/>
    <x v="0"/>
    <x v="0"/>
    <x v="1"/>
    <x v="42"/>
    <x v="1"/>
    <x v="0"/>
    <x v="138"/>
    <x v="0"/>
    <x v="0"/>
    <x v="1"/>
    <b v="0"/>
    <m/>
    <s v="Southampton"/>
    <s v="no"/>
    <b v="1"/>
    <n v="293"/>
    <n v="1"/>
    <n v="1.0335097202731177E+18"/>
  </r>
  <r>
    <b v="0"/>
    <x v="0"/>
    <x v="0"/>
    <x v="0"/>
    <x v="42"/>
    <x v="1"/>
    <x v="0"/>
    <x v="25"/>
    <x v="0"/>
    <x v="0"/>
    <x v="0"/>
    <b v="1"/>
    <m/>
    <s v="Southampton"/>
    <s v="no"/>
    <b v="1"/>
    <n v="294"/>
    <n v="1"/>
    <n v="1.7267534859903017E+19"/>
  </r>
  <r>
    <b v="0"/>
    <x v="0"/>
    <x v="1"/>
    <x v="0"/>
    <x v="4"/>
    <x v="1"/>
    <x v="0"/>
    <x v="26"/>
    <x v="1"/>
    <x v="1"/>
    <x v="0"/>
    <b v="1"/>
    <m/>
    <s v="Cherbourg"/>
    <s v="no"/>
    <b v="1"/>
    <n v="295"/>
    <n v="1"/>
    <n v="4.2342080152365793E+18"/>
  </r>
  <r>
    <b v="0"/>
    <x v="0"/>
    <x v="0"/>
    <x v="0"/>
    <x v="69"/>
    <x v="1"/>
    <x v="0"/>
    <x v="32"/>
    <x v="1"/>
    <x v="0"/>
    <x v="0"/>
    <b v="1"/>
    <m/>
    <s v="Cherbourg"/>
    <s v="no"/>
    <b v="1"/>
    <n v="296"/>
    <n v="1"/>
    <n v="2.9710048666875069E+18"/>
  </r>
  <r>
    <b v="0"/>
    <x v="0"/>
    <x v="1"/>
    <x v="1"/>
    <x v="6"/>
    <x v="0"/>
    <x v="2"/>
    <x v="139"/>
    <x v="0"/>
    <x v="1"/>
    <x v="2"/>
    <b v="0"/>
    <s v="C"/>
    <s v="Southampton"/>
    <s v="no"/>
    <b v="0"/>
    <n v="297"/>
    <n v="0"/>
    <n v="4.104438455403924E+18"/>
  </r>
  <r>
    <b v="0"/>
    <x v="1"/>
    <x v="1"/>
    <x v="0"/>
    <x v="4"/>
    <x v="1"/>
    <x v="0"/>
    <x v="140"/>
    <x v="0"/>
    <x v="1"/>
    <x v="0"/>
    <b v="1"/>
    <s v="C"/>
    <s v="Southampton"/>
    <s v="yes"/>
    <b v="1"/>
    <n v="298"/>
    <n v="1"/>
    <n v="6.043473952225152E+18"/>
  </r>
  <r>
    <b v="0"/>
    <x v="1"/>
    <x v="1"/>
    <x v="1"/>
    <x v="61"/>
    <x v="1"/>
    <x v="1"/>
    <x v="75"/>
    <x v="1"/>
    <x v="1"/>
    <x v="1"/>
    <b v="0"/>
    <s v="B"/>
    <s v="Cherbourg"/>
    <s v="yes"/>
    <b v="0"/>
    <n v="299"/>
    <n v="0"/>
    <n v="2.8988101729036022E+18"/>
  </r>
  <r>
    <b v="0"/>
    <x v="1"/>
    <x v="0"/>
    <x v="1"/>
    <x v="4"/>
    <x v="1"/>
    <x v="0"/>
    <x v="28"/>
    <x v="2"/>
    <x v="0"/>
    <x v="1"/>
    <b v="0"/>
    <m/>
    <s v="Queenstown"/>
    <s v="yes"/>
    <b v="1"/>
    <n v="300"/>
    <n v="1"/>
    <n v="5.2797389183422966E+18"/>
  </r>
  <r>
    <b v="0"/>
    <x v="1"/>
    <x v="0"/>
    <x v="0"/>
    <x v="4"/>
    <x v="4"/>
    <x v="0"/>
    <x v="141"/>
    <x v="2"/>
    <x v="0"/>
    <x v="0"/>
    <b v="1"/>
    <m/>
    <s v="Queenstown"/>
    <s v="yes"/>
    <b v="0"/>
    <n v="301"/>
    <n v="1"/>
    <n v="5.0637983916381942E+18"/>
  </r>
  <r>
    <b v="0"/>
    <x v="0"/>
    <x v="0"/>
    <x v="0"/>
    <x v="19"/>
    <x v="1"/>
    <x v="0"/>
    <x v="104"/>
    <x v="0"/>
    <x v="0"/>
    <x v="0"/>
    <b v="1"/>
    <m/>
    <s v="Southampton"/>
    <s v="no"/>
    <b v="1"/>
    <n v="302"/>
    <n v="1"/>
    <n v="3.8462658858131267E+18"/>
  </r>
  <r>
    <b v="0"/>
    <x v="1"/>
    <x v="2"/>
    <x v="1"/>
    <x v="4"/>
    <x v="1"/>
    <x v="0"/>
    <x v="142"/>
    <x v="2"/>
    <x v="2"/>
    <x v="1"/>
    <b v="0"/>
    <s v="E"/>
    <s v="Queenstown"/>
    <s v="yes"/>
    <b v="1"/>
    <n v="303"/>
    <n v="1"/>
    <n v="2.82241376137039E+18"/>
  </r>
  <r>
    <b v="0"/>
    <x v="0"/>
    <x v="0"/>
    <x v="0"/>
    <x v="4"/>
    <x v="1"/>
    <x v="0"/>
    <x v="4"/>
    <x v="0"/>
    <x v="0"/>
    <x v="0"/>
    <b v="1"/>
    <m/>
    <s v="Southampton"/>
    <s v="no"/>
    <b v="1"/>
    <n v="304"/>
    <n v="1"/>
    <n v="8.3191778267056988E+18"/>
  </r>
  <r>
    <b v="0"/>
    <x v="1"/>
    <x v="1"/>
    <x v="0"/>
    <x v="70"/>
    <x v="0"/>
    <x v="2"/>
    <x v="139"/>
    <x v="0"/>
    <x v="1"/>
    <x v="2"/>
    <b v="0"/>
    <s v="C"/>
    <s v="Southampton"/>
    <s v="yes"/>
    <b v="0"/>
    <n v="305"/>
    <n v="0"/>
    <n v="9.3964138273535898E+18"/>
  </r>
  <r>
    <b v="0"/>
    <x v="1"/>
    <x v="1"/>
    <x v="1"/>
    <x v="4"/>
    <x v="1"/>
    <x v="0"/>
    <x v="143"/>
    <x v="1"/>
    <x v="1"/>
    <x v="1"/>
    <b v="0"/>
    <m/>
    <s v="Cherbourg"/>
    <s v="yes"/>
    <b v="1"/>
    <n v="306"/>
    <n v="1"/>
    <n v="1.4352235216680571E+19"/>
  </r>
  <r>
    <b v="0"/>
    <x v="1"/>
    <x v="1"/>
    <x v="1"/>
    <x v="34"/>
    <x v="0"/>
    <x v="0"/>
    <x v="144"/>
    <x v="1"/>
    <x v="1"/>
    <x v="1"/>
    <b v="0"/>
    <s v="C"/>
    <s v="Cherbourg"/>
    <s v="yes"/>
    <b v="0"/>
    <n v="307"/>
    <n v="0"/>
    <n v="7.4084850850087025E+18"/>
  </r>
  <r>
    <b v="0"/>
    <x v="0"/>
    <x v="2"/>
    <x v="0"/>
    <x v="39"/>
    <x v="0"/>
    <x v="0"/>
    <x v="145"/>
    <x v="1"/>
    <x v="2"/>
    <x v="0"/>
    <b v="1"/>
    <m/>
    <s v="Cherbourg"/>
    <s v="no"/>
    <b v="0"/>
    <n v="308"/>
    <n v="1"/>
    <n v="1.8213057820232412E+18"/>
  </r>
  <r>
    <b v="0"/>
    <x v="1"/>
    <x v="1"/>
    <x v="1"/>
    <x v="39"/>
    <x v="1"/>
    <x v="0"/>
    <x v="146"/>
    <x v="1"/>
    <x v="1"/>
    <x v="1"/>
    <b v="0"/>
    <s v="E"/>
    <s v="Cherbourg"/>
    <s v="yes"/>
    <b v="1"/>
    <n v="309"/>
    <n v="0"/>
    <n v="1.3104552357777867E+19"/>
  </r>
  <r>
    <b v="0"/>
    <x v="1"/>
    <x v="1"/>
    <x v="1"/>
    <x v="42"/>
    <x v="1"/>
    <x v="0"/>
    <x v="147"/>
    <x v="1"/>
    <x v="1"/>
    <x v="1"/>
    <b v="0"/>
    <s v="C"/>
    <s v="Cherbourg"/>
    <s v="yes"/>
    <b v="1"/>
    <n v="310"/>
    <n v="0"/>
    <n v="1.0604136575610483E+19"/>
  </r>
  <r>
    <b v="0"/>
    <x v="1"/>
    <x v="1"/>
    <x v="1"/>
    <x v="24"/>
    <x v="4"/>
    <x v="2"/>
    <x v="148"/>
    <x v="1"/>
    <x v="1"/>
    <x v="1"/>
    <b v="0"/>
    <s v="B"/>
    <s v="Cherbourg"/>
    <s v="yes"/>
    <b v="0"/>
    <n v="311"/>
    <n v="0"/>
    <n v="1.5537623026800191E+19"/>
  </r>
  <r>
    <b v="0"/>
    <x v="0"/>
    <x v="2"/>
    <x v="1"/>
    <x v="2"/>
    <x v="0"/>
    <x v="1"/>
    <x v="19"/>
    <x v="0"/>
    <x v="2"/>
    <x v="1"/>
    <b v="0"/>
    <m/>
    <s v="Southampton"/>
    <s v="no"/>
    <b v="0"/>
    <n v="312"/>
    <n v="1"/>
    <n v="1.6883217278180878E+19"/>
  </r>
  <r>
    <b v="0"/>
    <x v="0"/>
    <x v="0"/>
    <x v="0"/>
    <x v="17"/>
    <x v="1"/>
    <x v="0"/>
    <x v="25"/>
    <x v="0"/>
    <x v="0"/>
    <x v="0"/>
    <b v="1"/>
    <m/>
    <s v="Southampton"/>
    <s v="no"/>
    <b v="1"/>
    <n v="313"/>
    <n v="1"/>
    <n v="9.3507170143166628E+18"/>
  </r>
  <r>
    <b v="0"/>
    <x v="0"/>
    <x v="2"/>
    <x v="0"/>
    <x v="71"/>
    <x v="0"/>
    <x v="1"/>
    <x v="121"/>
    <x v="0"/>
    <x v="2"/>
    <x v="0"/>
    <b v="1"/>
    <m/>
    <s v="Southampton"/>
    <s v="no"/>
    <b v="0"/>
    <n v="314"/>
    <n v="1"/>
    <n v="1.3175638863743334E+19"/>
  </r>
  <r>
    <b v="0"/>
    <x v="1"/>
    <x v="0"/>
    <x v="1"/>
    <x v="2"/>
    <x v="1"/>
    <x v="0"/>
    <x v="13"/>
    <x v="0"/>
    <x v="0"/>
    <x v="1"/>
    <b v="0"/>
    <m/>
    <s v="Southampton"/>
    <s v="yes"/>
    <b v="1"/>
    <n v="315"/>
    <n v="1"/>
    <n v="1.1561159504288379E+17"/>
  </r>
  <r>
    <b v="0"/>
    <x v="1"/>
    <x v="2"/>
    <x v="1"/>
    <x v="42"/>
    <x v="0"/>
    <x v="0"/>
    <x v="19"/>
    <x v="0"/>
    <x v="2"/>
    <x v="1"/>
    <b v="0"/>
    <m/>
    <s v="Southampton"/>
    <s v="yes"/>
    <b v="0"/>
    <n v="316"/>
    <n v="1"/>
    <n v="5.991118779509847E+18"/>
  </r>
  <r>
    <b v="0"/>
    <x v="0"/>
    <x v="2"/>
    <x v="0"/>
    <x v="5"/>
    <x v="1"/>
    <x v="0"/>
    <x v="149"/>
    <x v="0"/>
    <x v="2"/>
    <x v="0"/>
    <b v="1"/>
    <m/>
    <s v="Southampton"/>
    <s v="no"/>
    <b v="1"/>
    <n v="317"/>
    <n v="1"/>
    <n v="1.2835715428001664E+17"/>
  </r>
  <r>
    <b v="0"/>
    <x v="1"/>
    <x v="1"/>
    <x v="1"/>
    <x v="14"/>
    <x v="1"/>
    <x v="2"/>
    <x v="150"/>
    <x v="0"/>
    <x v="1"/>
    <x v="1"/>
    <b v="0"/>
    <s v="C"/>
    <s v="Southampton"/>
    <s v="yes"/>
    <b v="0"/>
    <n v="318"/>
    <n v="0"/>
    <n v="1.6264485502152912E+17"/>
  </r>
  <r>
    <b v="0"/>
    <x v="1"/>
    <x v="1"/>
    <x v="1"/>
    <x v="20"/>
    <x v="0"/>
    <x v="1"/>
    <x v="151"/>
    <x v="1"/>
    <x v="1"/>
    <x v="1"/>
    <b v="0"/>
    <s v="E"/>
    <s v="Cherbourg"/>
    <s v="yes"/>
    <b v="0"/>
    <n v="319"/>
    <n v="0"/>
    <n v="9.5969281182980874E+18"/>
  </r>
  <r>
    <b v="0"/>
    <x v="0"/>
    <x v="0"/>
    <x v="0"/>
    <x v="0"/>
    <x v="1"/>
    <x v="0"/>
    <x v="0"/>
    <x v="0"/>
    <x v="0"/>
    <x v="0"/>
    <b v="1"/>
    <m/>
    <s v="Southampton"/>
    <s v="no"/>
    <b v="1"/>
    <n v="320"/>
    <n v="1"/>
    <n v="1.028316003235021E+19"/>
  </r>
  <r>
    <b v="0"/>
    <x v="0"/>
    <x v="0"/>
    <x v="0"/>
    <x v="7"/>
    <x v="1"/>
    <x v="0"/>
    <x v="25"/>
    <x v="0"/>
    <x v="0"/>
    <x v="0"/>
    <b v="1"/>
    <m/>
    <s v="Southampton"/>
    <s v="no"/>
    <b v="1"/>
    <n v="321"/>
    <n v="1"/>
    <n v="1.509401672397541E+19"/>
  </r>
  <r>
    <b v="0"/>
    <x v="1"/>
    <x v="2"/>
    <x v="1"/>
    <x v="39"/>
    <x v="1"/>
    <x v="0"/>
    <x v="142"/>
    <x v="2"/>
    <x v="2"/>
    <x v="1"/>
    <b v="0"/>
    <m/>
    <s v="Queenstown"/>
    <s v="yes"/>
    <b v="1"/>
    <n v="322"/>
    <n v="1"/>
    <n v="1.4415353294634414E+19"/>
  </r>
  <r>
    <b v="0"/>
    <x v="1"/>
    <x v="2"/>
    <x v="1"/>
    <x v="0"/>
    <x v="0"/>
    <x v="1"/>
    <x v="56"/>
    <x v="0"/>
    <x v="2"/>
    <x v="1"/>
    <b v="0"/>
    <m/>
    <s v="Southampton"/>
    <s v="yes"/>
    <b v="0"/>
    <n v="323"/>
    <n v="1"/>
    <n v="3.247586278108734E+18"/>
  </r>
  <r>
    <b v="0"/>
    <x v="0"/>
    <x v="0"/>
    <x v="0"/>
    <x v="4"/>
    <x v="6"/>
    <x v="2"/>
    <x v="94"/>
    <x v="0"/>
    <x v="0"/>
    <x v="0"/>
    <b v="1"/>
    <m/>
    <s v="Southampton"/>
    <s v="no"/>
    <b v="0"/>
    <n v="324"/>
    <n v="1"/>
    <n v="6.5987600354745201E+18"/>
  </r>
  <r>
    <b v="0"/>
    <x v="1"/>
    <x v="1"/>
    <x v="1"/>
    <x v="62"/>
    <x v="1"/>
    <x v="0"/>
    <x v="130"/>
    <x v="1"/>
    <x v="1"/>
    <x v="1"/>
    <b v="0"/>
    <s v="C"/>
    <s v="Cherbourg"/>
    <s v="yes"/>
    <b v="1"/>
    <n v="325"/>
    <n v="0"/>
    <n v="1.0466566847674284E+19"/>
  </r>
  <r>
    <b v="0"/>
    <x v="0"/>
    <x v="0"/>
    <x v="0"/>
    <x v="59"/>
    <x v="1"/>
    <x v="0"/>
    <x v="152"/>
    <x v="0"/>
    <x v="0"/>
    <x v="0"/>
    <b v="1"/>
    <m/>
    <s v="Southampton"/>
    <s v="no"/>
    <b v="1"/>
    <n v="326"/>
    <n v="1"/>
    <n v="1.6146384946473853E+19"/>
  </r>
  <r>
    <b v="0"/>
    <x v="1"/>
    <x v="2"/>
    <x v="1"/>
    <x v="62"/>
    <x v="1"/>
    <x v="0"/>
    <x v="16"/>
    <x v="0"/>
    <x v="2"/>
    <x v="1"/>
    <b v="0"/>
    <s v="D"/>
    <s v="Southampton"/>
    <s v="yes"/>
    <b v="1"/>
    <n v="327"/>
    <n v="0"/>
    <n v="1.2923585770842454E+19"/>
  </r>
  <r>
    <b v="0"/>
    <x v="1"/>
    <x v="0"/>
    <x v="1"/>
    <x v="14"/>
    <x v="0"/>
    <x v="1"/>
    <x v="97"/>
    <x v="0"/>
    <x v="0"/>
    <x v="1"/>
    <b v="0"/>
    <m/>
    <s v="Southampton"/>
    <s v="yes"/>
    <b v="0"/>
    <n v="328"/>
    <n v="1"/>
    <n v="1.0107329448739553E+19"/>
  </r>
  <r>
    <b v="0"/>
    <x v="1"/>
    <x v="1"/>
    <x v="1"/>
    <x v="36"/>
    <x v="1"/>
    <x v="1"/>
    <x v="153"/>
    <x v="1"/>
    <x v="1"/>
    <x v="1"/>
    <b v="0"/>
    <s v="B"/>
    <s v="Cherbourg"/>
    <s v="yes"/>
    <b v="0"/>
    <n v="329"/>
    <n v="0"/>
    <n v="1.3455522647442655E+19"/>
  </r>
  <r>
    <b v="0"/>
    <x v="1"/>
    <x v="0"/>
    <x v="1"/>
    <x v="4"/>
    <x v="4"/>
    <x v="0"/>
    <x v="141"/>
    <x v="2"/>
    <x v="0"/>
    <x v="1"/>
    <b v="0"/>
    <m/>
    <s v="Queenstown"/>
    <s v="yes"/>
    <b v="0"/>
    <n v="330"/>
    <n v="1"/>
    <n v="1.2139027805876318E+19"/>
  </r>
  <r>
    <b v="0"/>
    <x v="0"/>
    <x v="1"/>
    <x v="0"/>
    <x v="63"/>
    <x v="1"/>
    <x v="0"/>
    <x v="154"/>
    <x v="0"/>
    <x v="1"/>
    <x v="0"/>
    <b v="1"/>
    <s v="C"/>
    <s v="Southampton"/>
    <s v="no"/>
    <b v="1"/>
    <n v="331"/>
    <n v="0"/>
    <n v="4.2309014412570301E+18"/>
  </r>
  <r>
    <b v="0"/>
    <x v="0"/>
    <x v="1"/>
    <x v="0"/>
    <x v="1"/>
    <x v="1"/>
    <x v="1"/>
    <x v="129"/>
    <x v="0"/>
    <x v="1"/>
    <x v="0"/>
    <b v="1"/>
    <s v="C"/>
    <s v="Southampton"/>
    <s v="no"/>
    <b v="0"/>
    <n v="332"/>
    <n v="0"/>
    <n v="9.8720038015817052E+18"/>
  </r>
  <r>
    <b v="0"/>
    <x v="0"/>
    <x v="0"/>
    <x v="0"/>
    <x v="36"/>
    <x v="4"/>
    <x v="0"/>
    <x v="17"/>
    <x v="0"/>
    <x v="0"/>
    <x v="0"/>
    <b v="1"/>
    <m/>
    <s v="Southampton"/>
    <s v="no"/>
    <b v="0"/>
    <n v="333"/>
    <n v="1"/>
    <n v="2.0960598405609252E+18"/>
  </r>
  <r>
    <b v="0"/>
    <x v="1"/>
    <x v="1"/>
    <x v="1"/>
    <x v="4"/>
    <x v="0"/>
    <x v="0"/>
    <x v="155"/>
    <x v="0"/>
    <x v="1"/>
    <x v="1"/>
    <b v="0"/>
    <m/>
    <s v="Southampton"/>
    <s v="yes"/>
    <b v="0"/>
    <n v="334"/>
    <n v="1"/>
    <n v="3.2593631933633797E+18"/>
  </r>
  <r>
    <b v="0"/>
    <x v="0"/>
    <x v="0"/>
    <x v="0"/>
    <x v="4"/>
    <x v="1"/>
    <x v="0"/>
    <x v="25"/>
    <x v="0"/>
    <x v="0"/>
    <x v="0"/>
    <b v="1"/>
    <m/>
    <s v="Southampton"/>
    <s v="no"/>
    <b v="1"/>
    <n v="335"/>
    <n v="1"/>
    <n v="1.3879164331772616E+18"/>
  </r>
  <r>
    <b v="0"/>
    <x v="0"/>
    <x v="1"/>
    <x v="0"/>
    <x v="28"/>
    <x v="0"/>
    <x v="0"/>
    <x v="90"/>
    <x v="0"/>
    <x v="1"/>
    <x v="0"/>
    <b v="1"/>
    <s v="C"/>
    <s v="Southampton"/>
    <s v="no"/>
    <b v="0"/>
    <n v="336"/>
    <n v="0"/>
    <n v="1.2313761843473678E+19"/>
  </r>
  <r>
    <b v="0"/>
    <x v="1"/>
    <x v="1"/>
    <x v="1"/>
    <x v="66"/>
    <x v="1"/>
    <x v="0"/>
    <x v="151"/>
    <x v="1"/>
    <x v="1"/>
    <x v="1"/>
    <b v="0"/>
    <s v="E"/>
    <s v="Cherbourg"/>
    <s v="yes"/>
    <b v="1"/>
    <n v="337"/>
    <n v="0"/>
    <n v="8.9596483448006369E+18"/>
  </r>
  <r>
    <b v="0"/>
    <x v="1"/>
    <x v="0"/>
    <x v="0"/>
    <x v="33"/>
    <x v="1"/>
    <x v="0"/>
    <x v="4"/>
    <x v="0"/>
    <x v="0"/>
    <x v="0"/>
    <b v="1"/>
    <m/>
    <s v="Southampton"/>
    <s v="yes"/>
    <b v="1"/>
    <n v="338"/>
    <n v="1"/>
    <n v="8.3747403357403095E+18"/>
  </r>
  <r>
    <b v="0"/>
    <x v="0"/>
    <x v="1"/>
    <x v="0"/>
    <x v="33"/>
    <x v="1"/>
    <x v="0"/>
    <x v="21"/>
    <x v="0"/>
    <x v="1"/>
    <x v="0"/>
    <b v="1"/>
    <m/>
    <s v="Southampton"/>
    <s v="no"/>
    <b v="1"/>
    <n v="339"/>
    <n v="1"/>
    <n v="1.0831724847655053E+19"/>
  </r>
  <r>
    <b v="0"/>
    <x v="1"/>
    <x v="2"/>
    <x v="0"/>
    <x v="6"/>
    <x v="0"/>
    <x v="1"/>
    <x v="19"/>
    <x v="0"/>
    <x v="2"/>
    <x v="2"/>
    <b v="0"/>
    <s v="F"/>
    <s v="Southampton"/>
    <s v="yes"/>
    <b v="0"/>
    <n v="340"/>
    <n v="0"/>
    <n v="7.1869084791578931E+18"/>
  </r>
  <r>
    <b v="0"/>
    <x v="1"/>
    <x v="1"/>
    <x v="1"/>
    <x v="42"/>
    <x v="2"/>
    <x v="2"/>
    <x v="23"/>
    <x v="0"/>
    <x v="1"/>
    <x v="1"/>
    <b v="0"/>
    <s v="C"/>
    <s v="Southampton"/>
    <s v="yes"/>
    <b v="0"/>
    <n v="341"/>
    <n v="0"/>
    <n v="9.6228939184953487E+18"/>
  </r>
  <r>
    <b v="0"/>
    <x v="0"/>
    <x v="2"/>
    <x v="0"/>
    <x v="17"/>
    <x v="1"/>
    <x v="0"/>
    <x v="16"/>
    <x v="0"/>
    <x v="2"/>
    <x v="0"/>
    <b v="1"/>
    <m/>
    <s v="Southampton"/>
    <s v="no"/>
    <b v="1"/>
    <n v="342"/>
    <n v="1"/>
    <n v="3.8798829849892749E+17"/>
  </r>
  <r>
    <b v="0"/>
    <x v="0"/>
    <x v="2"/>
    <x v="0"/>
    <x v="37"/>
    <x v="1"/>
    <x v="0"/>
    <x v="16"/>
    <x v="0"/>
    <x v="2"/>
    <x v="0"/>
    <b v="1"/>
    <m/>
    <s v="Southampton"/>
    <s v="no"/>
    <b v="1"/>
    <n v="343"/>
    <n v="1"/>
    <n v="1.7158338040277983E+19"/>
  </r>
  <r>
    <b v="0"/>
    <x v="0"/>
    <x v="2"/>
    <x v="0"/>
    <x v="62"/>
    <x v="1"/>
    <x v="0"/>
    <x v="16"/>
    <x v="0"/>
    <x v="2"/>
    <x v="0"/>
    <b v="1"/>
    <m/>
    <s v="Southampton"/>
    <s v="no"/>
    <b v="1"/>
    <n v="344"/>
    <n v="1"/>
    <n v="7.0123249226832538E+18"/>
  </r>
  <r>
    <b v="0"/>
    <x v="1"/>
    <x v="2"/>
    <x v="1"/>
    <x v="42"/>
    <x v="1"/>
    <x v="0"/>
    <x v="16"/>
    <x v="0"/>
    <x v="2"/>
    <x v="1"/>
    <b v="0"/>
    <s v="F"/>
    <s v="Southampton"/>
    <s v="yes"/>
    <b v="1"/>
    <n v="345"/>
    <n v="0"/>
    <n v="1.7598250662916246E+19"/>
  </r>
  <r>
    <b v="0"/>
    <x v="1"/>
    <x v="2"/>
    <x v="1"/>
    <x v="20"/>
    <x v="1"/>
    <x v="0"/>
    <x v="16"/>
    <x v="0"/>
    <x v="2"/>
    <x v="1"/>
    <b v="0"/>
    <m/>
    <s v="Southampton"/>
    <s v="yes"/>
    <b v="1"/>
    <n v="346"/>
    <n v="1"/>
    <n v="3.8415846209660221E+18"/>
  </r>
  <r>
    <b v="0"/>
    <x v="1"/>
    <x v="0"/>
    <x v="1"/>
    <x v="4"/>
    <x v="0"/>
    <x v="0"/>
    <x v="95"/>
    <x v="0"/>
    <x v="0"/>
    <x v="1"/>
    <b v="0"/>
    <m/>
    <s v="Southampton"/>
    <s v="yes"/>
    <b v="0"/>
    <n v="347"/>
    <n v="1"/>
    <n v="9.7323035236739543E+18"/>
  </r>
  <r>
    <b v="0"/>
    <x v="1"/>
    <x v="0"/>
    <x v="0"/>
    <x v="25"/>
    <x v="0"/>
    <x v="1"/>
    <x v="156"/>
    <x v="0"/>
    <x v="0"/>
    <x v="2"/>
    <b v="0"/>
    <m/>
    <s v="Southampton"/>
    <s v="yes"/>
    <b v="0"/>
    <n v="348"/>
    <n v="1"/>
    <n v="9.4640123523249091E+18"/>
  </r>
  <r>
    <b v="0"/>
    <x v="0"/>
    <x v="0"/>
    <x v="0"/>
    <x v="22"/>
    <x v="1"/>
    <x v="0"/>
    <x v="51"/>
    <x v="0"/>
    <x v="0"/>
    <x v="0"/>
    <b v="1"/>
    <m/>
    <s v="Southampton"/>
    <s v="no"/>
    <b v="1"/>
    <n v="349"/>
    <n v="1"/>
    <n v="9.8773333103602627E+18"/>
  </r>
  <r>
    <b v="0"/>
    <x v="0"/>
    <x v="0"/>
    <x v="0"/>
    <x v="41"/>
    <x v="1"/>
    <x v="0"/>
    <x v="157"/>
    <x v="0"/>
    <x v="0"/>
    <x v="0"/>
    <b v="1"/>
    <m/>
    <s v="Southampton"/>
    <s v="no"/>
    <b v="1"/>
    <n v="350"/>
    <n v="1"/>
    <n v="3.2439761188532516E+18"/>
  </r>
  <r>
    <b v="0"/>
    <x v="0"/>
    <x v="1"/>
    <x v="0"/>
    <x v="4"/>
    <x v="1"/>
    <x v="0"/>
    <x v="158"/>
    <x v="0"/>
    <x v="1"/>
    <x v="0"/>
    <b v="1"/>
    <s v="C"/>
    <s v="Southampton"/>
    <s v="no"/>
    <b v="1"/>
    <n v="351"/>
    <n v="1"/>
    <n v="9.8622944257542533E+18"/>
  </r>
  <r>
    <b v="0"/>
    <x v="0"/>
    <x v="0"/>
    <x v="0"/>
    <x v="16"/>
    <x v="0"/>
    <x v="1"/>
    <x v="32"/>
    <x v="1"/>
    <x v="0"/>
    <x v="2"/>
    <b v="0"/>
    <m/>
    <s v="Cherbourg"/>
    <s v="no"/>
    <b v="0"/>
    <n v="352"/>
    <n v="1"/>
    <n v="1.0784883826143635E+19"/>
  </r>
  <r>
    <b v="0"/>
    <x v="0"/>
    <x v="0"/>
    <x v="0"/>
    <x v="37"/>
    <x v="0"/>
    <x v="0"/>
    <x v="39"/>
    <x v="0"/>
    <x v="0"/>
    <x v="0"/>
    <b v="1"/>
    <m/>
    <s v="Southampton"/>
    <s v="no"/>
    <b v="0"/>
    <n v="353"/>
    <n v="1"/>
    <n v="1.4622587647913429E+19"/>
  </r>
  <r>
    <b v="0"/>
    <x v="0"/>
    <x v="0"/>
    <x v="0"/>
    <x v="4"/>
    <x v="1"/>
    <x v="0"/>
    <x v="18"/>
    <x v="1"/>
    <x v="0"/>
    <x v="0"/>
    <b v="1"/>
    <m/>
    <s v="Cherbourg"/>
    <s v="no"/>
    <b v="1"/>
    <n v="354"/>
    <n v="1"/>
    <n v="1.1061277445215865E+19"/>
  </r>
  <r>
    <b v="0"/>
    <x v="0"/>
    <x v="0"/>
    <x v="0"/>
    <x v="17"/>
    <x v="1"/>
    <x v="0"/>
    <x v="59"/>
    <x v="0"/>
    <x v="0"/>
    <x v="0"/>
    <b v="1"/>
    <m/>
    <s v="Southampton"/>
    <s v="no"/>
    <b v="1"/>
    <n v="355"/>
    <n v="1"/>
    <n v="3.9068089428742098E+18"/>
  </r>
  <r>
    <b v="0"/>
    <x v="1"/>
    <x v="1"/>
    <x v="1"/>
    <x v="0"/>
    <x v="1"/>
    <x v="1"/>
    <x v="98"/>
    <x v="0"/>
    <x v="1"/>
    <x v="1"/>
    <b v="0"/>
    <s v="E"/>
    <s v="Southampton"/>
    <s v="yes"/>
    <b v="0"/>
    <n v="356"/>
    <n v="0"/>
    <n v="1.8370452337873646E+19"/>
  </r>
  <r>
    <b v="0"/>
    <x v="0"/>
    <x v="2"/>
    <x v="1"/>
    <x v="1"/>
    <x v="1"/>
    <x v="0"/>
    <x v="16"/>
    <x v="0"/>
    <x v="2"/>
    <x v="1"/>
    <b v="0"/>
    <m/>
    <s v="Southampton"/>
    <s v="no"/>
    <b v="1"/>
    <n v="357"/>
    <n v="1"/>
    <n v="4.6338453263197256E+18"/>
  </r>
  <r>
    <b v="0"/>
    <x v="1"/>
    <x v="0"/>
    <x v="1"/>
    <x v="4"/>
    <x v="1"/>
    <x v="0"/>
    <x v="24"/>
    <x v="2"/>
    <x v="0"/>
    <x v="1"/>
    <b v="0"/>
    <m/>
    <s v="Queenstown"/>
    <s v="yes"/>
    <b v="1"/>
    <n v="358"/>
    <n v="1"/>
    <n v="1.1022425247040649E+19"/>
  </r>
  <r>
    <b v="0"/>
    <x v="1"/>
    <x v="0"/>
    <x v="1"/>
    <x v="4"/>
    <x v="1"/>
    <x v="0"/>
    <x v="24"/>
    <x v="2"/>
    <x v="0"/>
    <x v="1"/>
    <b v="0"/>
    <m/>
    <s v="Queenstown"/>
    <s v="yes"/>
    <b v="1"/>
    <n v="359"/>
    <n v="1"/>
    <n v="1.2968358877540429E+18"/>
  </r>
  <r>
    <b v="0"/>
    <x v="0"/>
    <x v="0"/>
    <x v="0"/>
    <x v="20"/>
    <x v="0"/>
    <x v="5"/>
    <x v="48"/>
    <x v="0"/>
    <x v="0"/>
    <x v="0"/>
    <b v="1"/>
    <m/>
    <s v="Southampton"/>
    <s v="no"/>
    <b v="0"/>
    <n v="360"/>
    <n v="1"/>
    <n v="1.5919791779052526E+19"/>
  </r>
  <r>
    <b v="0"/>
    <x v="0"/>
    <x v="2"/>
    <x v="0"/>
    <x v="28"/>
    <x v="0"/>
    <x v="0"/>
    <x v="26"/>
    <x v="1"/>
    <x v="2"/>
    <x v="0"/>
    <b v="1"/>
    <m/>
    <s v="Cherbourg"/>
    <s v="no"/>
    <b v="0"/>
    <n v="361"/>
    <n v="1"/>
    <n v="1.0981552602157621E+19"/>
  </r>
  <r>
    <b v="0"/>
    <x v="0"/>
    <x v="0"/>
    <x v="1"/>
    <x v="33"/>
    <x v="1"/>
    <x v="1"/>
    <x v="53"/>
    <x v="1"/>
    <x v="0"/>
    <x v="1"/>
    <b v="0"/>
    <m/>
    <s v="Cherbourg"/>
    <s v="no"/>
    <b v="0"/>
    <n v="362"/>
    <n v="1"/>
    <n v="1.6148765314352257E+19"/>
  </r>
  <r>
    <b v="0"/>
    <x v="0"/>
    <x v="0"/>
    <x v="0"/>
    <x v="3"/>
    <x v="1"/>
    <x v="0"/>
    <x v="79"/>
    <x v="0"/>
    <x v="0"/>
    <x v="0"/>
    <b v="1"/>
    <m/>
    <s v="Southampton"/>
    <s v="no"/>
    <b v="1"/>
    <n v="363"/>
    <n v="1"/>
    <n v="5.7085986865252956E+18"/>
  </r>
  <r>
    <b v="0"/>
    <x v="0"/>
    <x v="0"/>
    <x v="0"/>
    <x v="4"/>
    <x v="0"/>
    <x v="0"/>
    <x v="37"/>
    <x v="2"/>
    <x v="0"/>
    <x v="0"/>
    <b v="1"/>
    <m/>
    <s v="Queenstown"/>
    <s v="no"/>
    <b v="0"/>
    <n v="364"/>
    <n v="1"/>
    <n v="1.7064020886663694E+19"/>
  </r>
  <r>
    <b v="0"/>
    <x v="0"/>
    <x v="0"/>
    <x v="0"/>
    <x v="39"/>
    <x v="1"/>
    <x v="0"/>
    <x v="0"/>
    <x v="0"/>
    <x v="0"/>
    <x v="0"/>
    <b v="1"/>
    <m/>
    <s v="Southampton"/>
    <s v="no"/>
    <b v="1"/>
    <n v="365"/>
    <n v="1"/>
    <n v="3.9109074506753628E+18"/>
  </r>
  <r>
    <b v="0"/>
    <x v="1"/>
    <x v="1"/>
    <x v="1"/>
    <x v="72"/>
    <x v="0"/>
    <x v="0"/>
    <x v="159"/>
    <x v="1"/>
    <x v="1"/>
    <x v="1"/>
    <b v="0"/>
    <s v="D"/>
    <s v="Cherbourg"/>
    <s v="yes"/>
    <b v="0"/>
    <n v="366"/>
    <n v="0"/>
    <n v="9.7479461830051267E+18"/>
  </r>
  <r>
    <b v="0"/>
    <x v="1"/>
    <x v="0"/>
    <x v="1"/>
    <x v="4"/>
    <x v="1"/>
    <x v="0"/>
    <x v="32"/>
    <x v="1"/>
    <x v="0"/>
    <x v="1"/>
    <b v="0"/>
    <m/>
    <s v="Cherbourg"/>
    <s v="yes"/>
    <b v="1"/>
    <n v="367"/>
    <n v="1"/>
    <n v="1.1042108851930671E+18"/>
  </r>
  <r>
    <b v="0"/>
    <x v="1"/>
    <x v="0"/>
    <x v="1"/>
    <x v="4"/>
    <x v="1"/>
    <x v="0"/>
    <x v="28"/>
    <x v="2"/>
    <x v="0"/>
    <x v="1"/>
    <b v="0"/>
    <m/>
    <s v="Queenstown"/>
    <s v="yes"/>
    <b v="1"/>
    <n v="368"/>
    <n v="1"/>
    <n v="1.4914994840923786E+18"/>
  </r>
  <r>
    <b v="0"/>
    <x v="1"/>
    <x v="1"/>
    <x v="1"/>
    <x v="42"/>
    <x v="1"/>
    <x v="0"/>
    <x v="160"/>
    <x v="1"/>
    <x v="1"/>
    <x v="1"/>
    <b v="0"/>
    <s v="B"/>
    <s v="Cherbourg"/>
    <s v="yes"/>
    <b v="1"/>
    <n v="369"/>
    <n v="0"/>
    <n v="4.0682538028881213E+18"/>
  </r>
  <r>
    <b v="0"/>
    <x v="1"/>
    <x v="1"/>
    <x v="0"/>
    <x v="37"/>
    <x v="0"/>
    <x v="0"/>
    <x v="161"/>
    <x v="1"/>
    <x v="1"/>
    <x v="0"/>
    <b v="1"/>
    <s v="E"/>
    <s v="Cherbourg"/>
    <s v="yes"/>
    <b v="0"/>
    <n v="370"/>
    <n v="0"/>
    <n v="1.6864622710776834E+19"/>
  </r>
  <r>
    <b v="0"/>
    <x v="0"/>
    <x v="0"/>
    <x v="0"/>
    <x v="24"/>
    <x v="0"/>
    <x v="0"/>
    <x v="110"/>
    <x v="0"/>
    <x v="0"/>
    <x v="0"/>
    <b v="1"/>
    <m/>
    <s v="Southampton"/>
    <s v="no"/>
    <b v="0"/>
    <n v="371"/>
    <n v="1"/>
    <n v="7.9099685531703693E+17"/>
  </r>
  <r>
    <b v="0"/>
    <x v="0"/>
    <x v="0"/>
    <x v="0"/>
    <x v="19"/>
    <x v="1"/>
    <x v="0"/>
    <x v="4"/>
    <x v="0"/>
    <x v="0"/>
    <x v="0"/>
    <b v="1"/>
    <m/>
    <s v="Southampton"/>
    <s v="no"/>
    <b v="1"/>
    <n v="372"/>
    <n v="1"/>
    <n v="7.3150718044279859E+18"/>
  </r>
  <r>
    <b v="0"/>
    <x v="0"/>
    <x v="1"/>
    <x v="0"/>
    <x v="0"/>
    <x v="1"/>
    <x v="0"/>
    <x v="130"/>
    <x v="1"/>
    <x v="1"/>
    <x v="0"/>
    <b v="1"/>
    <m/>
    <s v="Cherbourg"/>
    <s v="no"/>
    <b v="1"/>
    <n v="373"/>
    <n v="1"/>
    <n v="1.1562696759068381E+19"/>
  </r>
  <r>
    <b v="0"/>
    <x v="0"/>
    <x v="0"/>
    <x v="1"/>
    <x v="25"/>
    <x v="2"/>
    <x v="1"/>
    <x v="7"/>
    <x v="0"/>
    <x v="0"/>
    <x v="2"/>
    <b v="0"/>
    <m/>
    <s v="Southampton"/>
    <s v="no"/>
    <b v="0"/>
    <n v="374"/>
    <n v="1"/>
    <n v="4.5303098920601723E+18"/>
  </r>
  <r>
    <b v="0"/>
    <x v="1"/>
    <x v="1"/>
    <x v="1"/>
    <x v="4"/>
    <x v="0"/>
    <x v="0"/>
    <x v="30"/>
    <x v="1"/>
    <x v="1"/>
    <x v="1"/>
    <b v="0"/>
    <m/>
    <s v="Cherbourg"/>
    <s v="yes"/>
    <b v="0"/>
    <n v="375"/>
    <n v="1"/>
    <n v="1.0461496816746158E+19"/>
  </r>
  <r>
    <b v="0"/>
    <x v="1"/>
    <x v="0"/>
    <x v="1"/>
    <x v="0"/>
    <x v="1"/>
    <x v="0"/>
    <x v="0"/>
    <x v="0"/>
    <x v="0"/>
    <x v="1"/>
    <b v="0"/>
    <m/>
    <s v="Southampton"/>
    <s v="yes"/>
    <b v="1"/>
    <n v="376"/>
    <n v="1"/>
    <n v="1.5842241811475835E+19"/>
  </r>
  <r>
    <b v="0"/>
    <x v="0"/>
    <x v="1"/>
    <x v="0"/>
    <x v="7"/>
    <x v="1"/>
    <x v="2"/>
    <x v="162"/>
    <x v="1"/>
    <x v="1"/>
    <x v="0"/>
    <b v="1"/>
    <s v="C"/>
    <s v="Cherbourg"/>
    <s v="no"/>
    <b v="0"/>
    <n v="377"/>
    <n v="0"/>
    <n v="1.5341741012089874E+19"/>
  </r>
  <r>
    <b v="0"/>
    <x v="0"/>
    <x v="0"/>
    <x v="0"/>
    <x v="11"/>
    <x v="1"/>
    <x v="0"/>
    <x v="163"/>
    <x v="1"/>
    <x v="0"/>
    <x v="0"/>
    <b v="1"/>
    <m/>
    <s v="Cherbourg"/>
    <s v="no"/>
    <b v="1"/>
    <n v="378"/>
    <n v="1"/>
    <n v="4.3352117747328609E+18"/>
  </r>
  <r>
    <b v="0"/>
    <x v="0"/>
    <x v="0"/>
    <x v="0"/>
    <x v="19"/>
    <x v="1"/>
    <x v="0"/>
    <x v="71"/>
    <x v="0"/>
    <x v="0"/>
    <x v="0"/>
    <b v="1"/>
    <m/>
    <s v="Southampton"/>
    <s v="no"/>
    <b v="1"/>
    <n v="379"/>
    <n v="1"/>
    <n v="1.6668066643840295E+19"/>
  </r>
  <r>
    <b v="0"/>
    <x v="1"/>
    <x v="1"/>
    <x v="1"/>
    <x v="22"/>
    <x v="1"/>
    <x v="0"/>
    <x v="164"/>
    <x v="1"/>
    <x v="1"/>
    <x v="1"/>
    <b v="0"/>
    <m/>
    <s v="Cherbourg"/>
    <s v="yes"/>
    <b v="1"/>
    <n v="380"/>
    <n v="1"/>
    <n v="8.3299550989075917E+18"/>
  </r>
  <r>
    <b v="0"/>
    <x v="1"/>
    <x v="0"/>
    <x v="1"/>
    <x v="58"/>
    <x v="1"/>
    <x v="2"/>
    <x v="165"/>
    <x v="1"/>
    <x v="0"/>
    <x v="2"/>
    <b v="0"/>
    <m/>
    <s v="Cherbourg"/>
    <s v="yes"/>
    <b v="0"/>
    <n v="381"/>
    <n v="1"/>
    <n v="1.4102104559353721E+19"/>
  </r>
  <r>
    <b v="0"/>
    <x v="0"/>
    <x v="0"/>
    <x v="0"/>
    <x v="35"/>
    <x v="1"/>
    <x v="0"/>
    <x v="2"/>
    <x v="0"/>
    <x v="0"/>
    <x v="0"/>
    <b v="1"/>
    <m/>
    <s v="Southampton"/>
    <s v="no"/>
    <b v="1"/>
    <n v="382"/>
    <n v="1"/>
    <n v="1.6183239956327969E+19"/>
  </r>
  <r>
    <b v="0"/>
    <x v="1"/>
    <x v="1"/>
    <x v="1"/>
    <x v="3"/>
    <x v="0"/>
    <x v="0"/>
    <x v="31"/>
    <x v="0"/>
    <x v="1"/>
    <x v="1"/>
    <b v="0"/>
    <m/>
    <s v="Southampton"/>
    <s v="yes"/>
    <b v="0"/>
    <n v="383"/>
    <n v="1"/>
    <n v="1.491448460407073E+19"/>
  </r>
  <r>
    <b v="0"/>
    <x v="0"/>
    <x v="0"/>
    <x v="0"/>
    <x v="4"/>
    <x v="1"/>
    <x v="0"/>
    <x v="25"/>
    <x v="0"/>
    <x v="0"/>
    <x v="0"/>
    <b v="1"/>
    <m/>
    <s v="Southampton"/>
    <s v="no"/>
    <b v="1"/>
    <n v="384"/>
    <n v="1"/>
    <n v="4.7091456952957645E+18"/>
  </r>
  <r>
    <b v="0"/>
    <x v="0"/>
    <x v="2"/>
    <x v="0"/>
    <x v="24"/>
    <x v="1"/>
    <x v="0"/>
    <x v="52"/>
    <x v="0"/>
    <x v="2"/>
    <x v="0"/>
    <b v="1"/>
    <m/>
    <s v="Southampton"/>
    <s v="no"/>
    <b v="1"/>
    <n v="385"/>
    <n v="1"/>
    <n v="3.7496104036370222E+18"/>
  </r>
  <r>
    <b v="0"/>
    <x v="0"/>
    <x v="0"/>
    <x v="0"/>
    <x v="58"/>
    <x v="5"/>
    <x v="2"/>
    <x v="45"/>
    <x v="0"/>
    <x v="0"/>
    <x v="2"/>
    <b v="0"/>
    <m/>
    <s v="Southampton"/>
    <s v="no"/>
    <b v="0"/>
    <n v="386"/>
    <n v="1"/>
    <n v="1.2872998872990602E+18"/>
  </r>
  <r>
    <b v="0"/>
    <x v="1"/>
    <x v="2"/>
    <x v="1"/>
    <x v="62"/>
    <x v="1"/>
    <x v="0"/>
    <x v="16"/>
    <x v="0"/>
    <x v="2"/>
    <x v="1"/>
    <b v="0"/>
    <m/>
    <s v="Southampton"/>
    <s v="yes"/>
    <b v="1"/>
    <n v="387"/>
    <n v="1"/>
    <n v="1.0914611098052231E+19"/>
  </r>
  <r>
    <b v="0"/>
    <x v="0"/>
    <x v="0"/>
    <x v="0"/>
    <x v="4"/>
    <x v="1"/>
    <x v="0"/>
    <x v="166"/>
    <x v="2"/>
    <x v="0"/>
    <x v="0"/>
    <b v="1"/>
    <m/>
    <s v="Queenstown"/>
    <s v="no"/>
    <b v="1"/>
    <n v="388"/>
    <n v="1"/>
    <n v="1.0849976859032701E+19"/>
  </r>
  <r>
    <b v="0"/>
    <x v="1"/>
    <x v="2"/>
    <x v="1"/>
    <x v="34"/>
    <x v="1"/>
    <x v="0"/>
    <x v="167"/>
    <x v="1"/>
    <x v="2"/>
    <x v="1"/>
    <b v="0"/>
    <m/>
    <s v="Cherbourg"/>
    <s v="yes"/>
    <b v="1"/>
    <n v="389"/>
    <n v="1"/>
    <n v="1.1652477116553472E+19"/>
  </r>
  <r>
    <b v="0"/>
    <x v="1"/>
    <x v="1"/>
    <x v="0"/>
    <x v="62"/>
    <x v="0"/>
    <x v="2"/>
    <x v="168"/>
    <x v="0"/>
    <x v="1"/>
    <x v="0"/>
    <b v="1"/>
    <s v="B"/>
    <s v="Southampton"/>
    <s v="yes"/>
    <b v="0"/>
    <n v="390"/>
    <n v="0"/>
    <n v="1.6276988711290075E+19"/>
  </r>
  <r>
    <b v="0"/>
    <x v="1"/>
    <x v="0"/>
    <x v="0"/>
    <x v="23"/>
    <x v="1"/>
    <x v="0"/>
    <x v="88"/>
    <x v="0"/>
    <x v="0"/>
    <x v="0"/>
    <b v="1"/>
    <m/>
    <s v="Southampton"/>
    <s v="yes"/>
    <b v="1"/>
    <n v="391"/>
    <n v="1"/>
    <n v="3.0202763710900951E+18"/>
  </r>
  <r>
    <b v="0"/>
    <x v="0"/>
    <x v="0"/>
    <x v="0"/>
    <x v="17"/>
    <x v="4"/>
    <x v="0"/>
    <x v="2"/>
    <x v="0"/>
    <x v="0"/>
    <x v="0"/>
    <b v="1"/>
    <m/>
    <s v="Southampton"/>
    <s v="no"/>
    <b v="0"/>
    <n v="392"/>
    <n v="1"/>
    <n v="1.5109776474333014E+19"/>
  </r>
  <r>
    <b v="0"/>
    <x v="1"/>
    <x v="1"/>
    <x v="1"/>
    <x v="41"/>
    <x v="0"/>
    <x v="0"/>
    <x v="114"/>
    <x v="1"/>
    <x v="1"/>
    <x v="1"/>
    <b v="0"/>
    <s v="D"/>
    <s v="Cherbourg"/>
    <s v="yes"/>
    <b v="0"/>
    <n v="393"/>
    <n v="0"/>
    <n v="1.4135240840605876E+19"/>
  </r>
  <r>
    <b v="0"/>
    <x v="1"/>
    <x v="0"/>
    <x v="1"/>
    <x v="42"/>
    <x v="1"/>
    <x v="2"/>
    <x v="10"/>
    <x v="0"/>
    <x v="0"/>
    <x v="1"/>
    <b v="0"/>
    <s v="G"/>
    <s v="Southampton"/>
    <s v="yes"/>
    <b v="0"/>
    <n v="394"/>
    <n v="0"/>
    <n v="1.6563033101399626E+19"/>
  </r>
  <r>
    <b v="0"/>
    <x v="0"/>
    <x v="0"/>
    <x v="0"/>
    <x v="0"/>
    <x v="1"/>
    <x v="0"/>
    <x v="88"/>
    <x v="0"/>
    <x v="0"/>
    <x v="0"/>
    <b v="1"/>
    <m/>
    <s v="Southampton"/>
    <s v="no"/>
    <b v="1"/>
    <n v="395"/>
    <n v="1"/>
    <n v="5.8169380354739159E+18"/>
  </r>
  <r>
    <b v="0"/>
    <x v="0"/>
    <x v="0"/>
    <x v="1"/>
    <x v="14"/>
    <x v="1"/>
    <x v="0"/>
    <x v="13"/>
    <x v="0"/>
    <x v="0"/>
    <x v="1"/>
    <b v="0"/>
    <m/>
    <s v="Southampton"/>
    <s v="no"/>
    <b v="1"/>
    <n v="396"/>
    <n v="1"/>
    <n v="1.4663000951033936E+19"/>
  </r>
  <r>
    <b v="0"/>
    <x v="0"/>
    <x v="2"/>
    <x v="0"/>
    <x v="43"/>
    <x v="1"/>
    <x v="0"/>
    <x v="19"/>
    <x v="0"/>
    <x v="2"/>
    <x v="0"/>
    <b v="1"/>
    <m/>
    <s v="Southampton"/>
    <s v="no"/>
    <b v="1"/>
    <n v="397"/>
    <n v="1"/>
    <n v="1.3128968611581317E+19"/>
  </r>
  <r>
    <b v="0"/>
    <x v="0"/>
    <x v="2"/>
    <x v="0"/>
    <x v="41"/>
    <x v="1"/>
    <x v="0"/>
    <x v="29"/>
    <x v="0"/>
    <x v="2"/>
    <x v="0"/>
    <b v="1"/>
    <m/>
    <s v="Southampton"/>
    <s v="no"/>
    <b v="1"/>
    <n v="398"/>
    <n v="1"/>
    <n v="1.3716142030685565E+19"/>
  </r>
  <r>
    <b v="0"/>
    <x v="1"/>
    <x v="2"/>
    <x v="1"/>
    <x v="17"/>
    <x v="1"/>
    <x v="0"/>
    <x v="169"/>
    <x v="0"/>
    <x v="2"/>
    <x v="1"/>
    <b v="0"/>
    <m/>
    <s v="Southampton"/>
    <s v="yes"/>
    <b v="1"/>
    <n v="399"/>
    <n v="1"/>
    <n v="1.7248774323083022E+19"/>
  </r>
  <r>
    <b v="0"/>
    <x v="1"/>
    <x v="0"/>
    <x v="0"/>
    <x v="12"/>
    <x v="1"/>
    <x v="0"/>
    <x v="2"/>
    <x v="0"/>
    <x v="0"/>
    <x v="0"/>
    <b v="1"/>
    <m/>
    <s v="Southampton"/>
    <s v="yes"/>
    <b v="1"/>
    <n v="400"/>
    <n v="1"/>
    <n v="1.1156100648127701E+19"/>
  </r>
  <r>
    <b v="0"/>
    <x v="0"/>
    <x v="0"/>
    <x v="0"/>
    <x v="2"/>
    <x v="1"/>
    <x v="0"/>
    <x v="4"/>
    <x v="0"/>
    <x v="0"/>
    <x v="0"/>
    <b v="1"/>
    <m/>
    <s v="Southampton"/>
    <s v="no"/>
    <b v="1"/>
    <n v="401"/>
    <n v="1"/>
    <n v="9.0027795255453276E+18"/>
  </r>
  <r>
    <b v="0"/>
    <x v="0"/>
    <x v="0"/>
    <x v="1"/>
    <x v="23"/>
    <x v="0"/>
    <x v="0"/>
    <x v="73"/>
    <x v="0"/>
    <x v="0"/>
    <x v="1"/>
    <b v="0"/>
    <m/>
    <s v="Southampton"/>
    <s v="no"/>
    <b v="0"/>
    <n v="402"/>
    <n v="1"/>
    <n v="6.08384395286622E+18"/>
  </r>
  <r>
    <b v="0"/>
    <x v="0"/>
    <x v="0"/>
    <x v="0"/>
    <x v="17"/>
    <x v="0"/>
    <x v="0"/>
    <x v="62"/>
    <x v="0"/>
    <x v="0"/>
    <x v="0"/>
    <b v="1"/>
    <m/>
    <s v="Southampton"/>
    <s v="no"/>
    <b v="0"/>
    <n v="403"/>
    <n v="1"/>
    <n v="4.7804747312510556E+18"/>
  </r>
  <r>
    <b v="0"/>
    <x v="0"/>
    <x v="0"/>
    <x v="1"/>
    <x v="11"/>
    <x v="1"/>
    <x v="0"/>
    <x v="51"/>
    <x v="0"/>
    <x v="0"/>
    <x v="1"/>
    <b v="0"/>
    <m/>
    <s v="Southampton"/>
    <s v="no"/>
    <b v="1"/>
    <n v="404"/>
    <n v="1"/>
    <n v="1.4062953824206307E+19"/>
  </r>
  <r>
    <b v="0"/>
    <x v="0"/>
    <x v="2"/>
    <x v="0"/>
    <x v="15"/>
    <x v="0"/>
    <x v="0"/>
    <x v="35"/>
    <x v="0"/>
    <x v="2"/>
    <x v="0"/>
    <b v="1"/>
    <m/>
    <s v="Southampton"/>
    <s v="no"/>
    <b v="0"/>
    <n v="405"/>
    <n v="1"/>
    <n v="1.106450656776562E+18"/>
  </r>
  <r>
    <b v="0"/>
    <x v="0"/>
    <x v="0"/>
    <x v="0"/>
    <x v="54"/>
    <x v="1"/>
    <x v="0"/>
    <x v="28"/>
    <x v="0"/>
    <x v="0"/>
    <x v="0"/>
    <b v="1"/>
    <m/>
    <s v="Southampton"/>
    <s v="no"/>
    <b v="1"/>
    <n v="406"/>
    <n v="1"/>
    <n v="1.2938376496509903E+19"/>
  </r>
  <r>
    <b v="0"/>
    <x v="1"/>
    <x v="2"/>
    <x v="0"/>
    <x v="25"/>
    <x v="0"/>
    <x v="1"/>
    <x v="170"/>
    <x v="0"/>
    <x v="2"/>
    <x v="2"/>
    <b v="0"/>
    <m/>
    <s v="Southampton"/>
    <s v="yes"/>
    <b v="0"/>
    <n v="407"/>
    <n v="1"/>
    <n v="1.0331710568219675E+18"/>
  </r>
  <r>
    <b v="0"/>
    <x v="0"/>
    <x v="0"/>
    <x v="0"/>
    <x v="23"/>
    <x v="1"/>
    <x v="0"/>
    <x v="71"/>
    <x v="0"/>
    <x v="0"/>
    <x v="0"/>
    <b v="1"/>
    <m/>
    <s v="Southampton"/>
    <s v="no"/>
    <b v="1"/>
    <n v="408"/>
    <n v="1"/>
    <n v="9.448815008700969E+18"/>
  </r>
  <r>
    <b v="0"/>
    <x v="0"/>
    <x v="0"/>
    <x v="1"/>
    <x v="4"/>
    <x v="2"/>
    <x v="1"/>
    <x v="102"/>
    <x v="0"/>
    <x v="0"/>
    <x v="1"/>
    <b v="0"/>
    <m/>
    <s v="Southampton"/>
    <s v="no"/>
    <b v="0"/>
    <n v="409"/>
    <n v="1"/>
    <n v="1.1411885262530898E+19"/>
  </r>
  <r>
    <b v="0"/>
    <x v="0"/>
    <x v="0"/>
    <x v="0"/>
    <x v="4"/>
    <x v="1"/>
    <x v="0"/>
    <x v="25"/>
    <x v="0"/>
    <x v="0"/>
    <x v="0"/>
    <b v="1"/>
    <m/>
    <s v="Southampton"/>
    <s v="no"/>
    <b v="1"/>
    <n v="410"/>
    <n v="1"/>
    <n v="9.8361848319720305E+18"/>
  </r>
  <r>
    <b v="0"/>
    <x v="0"/>
    <x v="0"/>
    <x v="0"/>
    <x v="4"/>
    <x v="1"/>
    <x v="0"/>
    <x v="171"/>
    <x v="2"/>
    <x v="0"/>
    <x v="0"/>
    <b v="1"/>
    <m/>
    <s v="Queenstown"/>
    <s v="no"/>
    <b v="1"/>
    <n v="411"/>
    <n v="1"/>
    <n v="1.4149847934711904E+19"/>
  </r>
  <r>
    <b v="0"/>
    <x v="1"/>
    <x v="1"/>
    <x v="1"/>
    <x v="40"/>
    <x v="0"/>
    <x v="0"/>
    <x v="117"/>
    <x v="2"/>
    <x v="1"/>
    <x v="1"/>
    <b v="0"/>
    <s v="C"/>
    <s v="Queenstown"/>
    <s v="yes"/>
    <b v="0"/>
    <n v="412"/>
    <n v="0"/>
    <n v="2.5693638453106944E+18"/>
  </r>
  <r>
    <b v="0"/>
    <x v="0"/>
    <x v="2"/>
    <x v="0"/>
    <x v="4"/>
    <x v="1"/>
    <x v="0"/>
    <x v="104"/>
    <x v="0"/>
    <x v="2"/>
    <x v="0"/>
    <b v="1"/>
    <m/>
    <s v="Southampton"/>
    <s v="no"/>
    <b v="1"/>
    <n v="413"/>
    <n v="1"/>
    <n v="1.266352105423478E+19"/>
  </r>
  <r>
    <b v="0"/>
    <x v="1"/>
    <x v="0"/>
    <x v="0"/>
    <x v="57"/>
    <x v="1"/>
    <x v="0"/>
    <x v="2"/>
    <x v="0"/>
    <x v="0"/>
    <x v="0"/>
    <b v="1"/>
    <m/>
    <s v="Southampton"/>
    <s v="yes"/>
    <b v="1"/>
    <n v="414"/>
    <n v="1"/>
    <n v="1.2143447191445314E+19"/>
  </r>
  <r>
    <b v="0"/>
    <x v="0"/>
    <x v="0"/>
    <x v="1"/>
    <x v="4"/>
    <x v="1"/>
    <x v="0"/>
    <x v="4"/>
    <x v="0"/>
    <x v="0"/>
    <x v="1"/>
    <b v="0"/>
    <m/>
    <s v="Southampton"/>
    <s v="no"/>
    <b v="1"/>
    <n v="415"/>
    <n v="1"/>
    <n v="1.6717144379162382E+19"/>
  </r>
  <r>
    <b v="0"/>
    <x v="1"/>
    <x v="2"/>
    <x v="1"/>
    <x v="15"/>
    <x v="0"/>
    <x v="1"/>
    <x v="172"/>
    <x v="0"/>
    <x v="2"/>
    <x v="1"/>
    <b v="0"/>
    <m/>
    <s v="Southampton"/>
    <s v="yes"/>
    <b v="0"/>
    <n v="416"/>
    <n v="1"/>
    <n v="1.629870787628904E+19"/>
  </r>
  <r>
    <b v="0"/>
    <x v="1"/>
    <x v="2"/>
    <x v="1"/>
    <x v="24"/>
    <x v="1"/>
    <x v="2"/>
    <x v="16"/>
    <x v="0"/>
    <x v="2"/>
    <x v="1"/>
    <b v="0"/>
    <m/>
    <s v="Southampton"/>
    <s v="yes"/>
    <b v="0"/>
    <n v="417"/>
    <n v="1"/>
    <n v="2.9550489163147556E+18"/>
  </r>
  <r>
    <b v="0"/>
    <x v="0"/>
    <x v="2"/>
    <x v="0"/>
    <x v="39"/>
    <x v="1"/>
    <x v="0"/>
    <x v="16"/>
    <x v="0"/>
    <x v="2"/>
    <x v="0"/>
    <b v="1"/>
    <m/>
    <s v="Southampton"/>
    <s v="no"/>
    <b v="1"/>
    <n v="418"/>
    <n v="1"/>
    <n v="5.6757123213101384E+18"/>
  </r>
  <r>
    <b v="0"/>
    <x v="0"/>
    <x v="0"/>
    <x v="1"/>
    <x v="73"/>
    <x v="1"/>
    <x v="2"/>
    <x v="72"/>
    <x v="0"/>
    <x v="0"/>
    <x v="2"/>
    <b v="0"/>
    <m/>
    <s v="Southampton"/>
    <s v="no"/>
    <b v="0"/>
    <n v="419"/>
    <n v="1"/>
    <n v="1.6391807158561634E+19"/>
  </r>
  <r>
    <b v="0"/>
    <x v="0"/>
    <x v="0"/>
    <x v="0"/>
    <x v="4"/>
    <x v="1"/>
    <x v="0"/>
    <x v="25"/>
    <x v="1"/>
    <x v="0"/>
    <x v="0"/>
    <b v="1"/>
    <m/>
    <s v="Cherbourg"/>
    <s v="no"/>
    <b v="1"/>
    <n v="420"/>
    <n v="1"/>
    <n v="3.0847385242016902E+17"/>
  </r>
  <r>
    <b v="0"/>
    <x v="0"/>
    <x v="0"/>
    <x v="0"/>
    <x v="23"/>
    <x v="1"/>
    <x v="0"/>
    <x v="93"/>
    <x v="2"/>
    <x v="0"/>
    <x v="0"/>
    <b v="1"/>
    <m/>
    <s v="Queenstown"/>
    <s v="no"/>
    <b v="1"/>
    <n v="421"/>
    <n v="1"/>
    <n v="1.6205726076044863E+19"/>
  </r>
  <r>
    <b v="0"/>
    <x v="0"/>
    <x v="0"/>
    <x v="0"/>
    <x v="28"/>
    <x v="1"/>
    <x v="0"/>
    <x v="173"/>
    <x v="0"/>
    <x v="0"/>
    <x v="0"/>
    <b v="1"/>
    <m/>
    <s v="Southampton"/>
    <s v="no"/>
    <b v="1"/>
    <n v="422"/>
    <n v="1"/>
    <n v="1.3715200401385277E+19"/>
  </r>
  <r>
    <b v="0"/>
    <x v="0"/>
    <x v="0"/>
    <x v="1"/>
    <x v="17"/>
    <x v="0"/>
    <x v="1"/>
    <x v="174"/>
    <x v="0"/>
    <x v="0"/>
    <x v="1"/>
    <b v="0"/>
    <m/>
    <s v="Southampton"/>
    <s v="no"/>
    <b v="0"/>
    <n v="423"/>
    <n v="1"/>
    <n v="4.0061296231105546E+18"/>
  </r>
  <r>
    <b v="0"/>
    <x v="0"/>
    <x v="0"/>
    <x v="0"/>
    <x v="24"/>
    <x v="0"/>
    <x v="1"/>
    <x v="125"/>
    <x v="0"/>
    <x v="0"/>
    <x v="0"/>
    <b v="1"/>
    <m/>
    <s v="Southampton"/>
    <s v="no"/>
    <b v="0"/>
    <n v="424"/>
    <n v="1"/>
    <n v="1.3250998952068719E+19"/>
  </r>
  <r>
    <b v="0"/>
    <x v="0"/>
    <x v="0"/>
    <x v="0"/>
    <x v="4"/>
    <x v="1"/>
    <x v="0"/>
    <x v="0"/>
    <x v="0"/>
    <x v="0"/>
    <x v="0"/>
    <b v="1"/>
    <m/>
    <s v="Southampton"/>
    <s v="no"/>
    <b v="1"/>
    <n v="425"/>
    <n v="1"/>
    <n v="1.4787249642975506E+19"/>
  </r>
  <r>
    <b v="0"/>
    <x v="1"/>
    <x v="2"/>
    <x v="1"/>
    <x v="17"/>
    <x v="0"/>
    <x v="0"/>
    <x v="19"/>
    <x v="0"/>
    <x v="2"/>
    <x v="1"/>
    <b v="0"/>
    <m/>
    <s v="Southampton"/>
    <s v="yes"/>
    <b v="0"/>
    <n v="426"/>
    <n v="1"/>
    <n v="3.2852151893052544E+18"/>
  </r>
  <r>
    <b v="0"/>
    <x v="1"/>
    <x v="2"/>
    <x v="1"/>
    <x v="19"/>
    <x v="1"/>
    <x v="0"/>
    <x v="19"/>
    <x v="0"/>
    <x v="2"/>
    <x v="1"/>
    <b v="0"/>
    <m/>
    <s v="Southampton"/>
    <s v="yes"/>
    <b v="1"/>
    <n v="427"/>
    <n v="1"/>
    <n v="3.4542377592706207E+18"/>
  </r>
  <r>
    <b v="0"/>
    <x v="0"/>
    <x v="0"/>
    <x v="0"/>
    <x v="4"/>
    <x v="1"/>
    <x v="0"/>
    <x v="28"/>
    <x v="2"/>
    <x v="0"/>
    <x v="0"/>
    <b v="1"/>
    <m/>
    <s v="Queenstown"/>
    <s v="no"/>
    <b v="1"/>
    <n v="428"/>
    <n v="1"/>
    <n v="8.620251092378538E+18"/>
  </r>
  <r>
    <b v="0"/>
    <x v="1"/>
    <x v="0"/>
    <x v="0"/>
    <x v="35"/>
    <x v="1"/>
    <x v="0"/>
    <x v="4"/>
    <x v="0"/>
    <x v="0"/>
    <x v="0"/>
    <b v="1"/>
    <s v="E"/>
    <s v="Southampton"/>
    <s v="yes"/>
    <b v="1"/>
    <n v="429"/>
    <n v="0"/>
    <n v="6.5787171339996836E+18"/>
  </r>
  <r>
    <b v="0"/>
    <x v="1"/>
    <x v="1"/>
    <x v="0"/>
    <x v="17"/>
    <x v="1"/>
    <x v="0"/>
    <x v="11"/>
    <x v="0"/>
    <x v="1"/>
    <x v="0"/>
    <b v="1"/>
    <s v="C"/>
    <s v="Southampton"/>
    <s v="yes"/>
    <b v="1"/>
    <n v="430"/>
    <n v="0"/>
    <n v="1.5112846595764628E+18"/>
  </r>
  <r>
    <b v="0"/>
    <x v="1"/>
    <x v="0"/>
    <x v="1"/>
    <x v="4"/>
    <x v="0"/>
    <x v="0"/>
    <x v="95"/>
    <x v="0"/>
    <x v="0"/>
    <x v="1"/>
    <b v="0"/>
    <m/>
    <s v="Southampton"/>
    <s v="yes"/>
    <b v="0"/>
    <n v="431"/>
    <n v="1"/>
    <n v="2.7675000023060685E+18"/>
  </r>
  <r>
    <b v="0"/>
    <x v="1"/>
    <x v="2"/>
    <x v="1"/>
    <x v="22"/>
    <x v="0"/>
    <x v="0"/>
    <x v="19"/>
    <x v="0"/>
    <x v="2"/>
    <x v="1"/>
    <b v="0"/>
    <m/>
    <s v="Southampton"/>
    <s v="yes"/>
    <b v="0"/>
    <n v="432"/>
    <n v="1"/>
    <n v="2.3421029651947208E+18"/>
  </r>
  <r>
    <b v="0"/>
    <x v="0"/>
    <x v="0"/>
    <x v="0"/>
    <x v="34"/>
    <x v="1"/>
    <x v="0"/>
    <x v="123"/>
    <x v="0"/>
    <x v="0"/>
    <x v="0"/>
    <b v="1"/>
    <m/>
    <s v="Southampton"/>
    <s v="no"/>
    <b v="1"/>
    <n v="433"/>
    <n v="1"/>
    <n v="1.5159974883572484E+19"/>
  </r>
  <r>
    <b v="0"/>
    <x v="0"/>
    <x v="1"/>
    <x v="0"/>
    <x v="61"/>
    <x v="0"/>
    <x v="0"/>
    <x v="175"/>
    <x v="0"/>
    <x v="1"/>
    <x v="0"/>
    <b v="1"/>
    <s v="E"/>
    <s v="Southampton"/>
    <s v="no"/>
    <b v="0"/>
    <n v="434"/>
    <n v="0"/>
    <n v="6.190562003323607E+18"/>
  </r>
  <r>
    <b v="0"/>
    <x v="1"/>
    <x v="1"/>
    <x v="1"/>
    <x v="8"/>
    <x v="0"/>
    <x v="2"/>
    <x v="168"/>
    <x v="0"/>
    <x v="1"/>
    <x v="2"/>
    <b v="0"/>
    <s v="B"/>
    <s v="Southampton"/>
    <s v="yes"/>
    <b v="0"/>
    <n v="435"/>
    <n v="0"/>
    <n v="1.1771530061285267E+19"/>
  </r>
  <r>
    <b v="0"/>
    <x v="0"/>
    <x v="0"/>
    <x v="1"/>
    <x v="23"/>
    <x v="4"/>
    <x v="2"/>
    <x v="63"/>
    <x v="0"/>
    <x v="0"/>
    <x v="1"/>
    <b v="0"/>
    <m/>
    <s v="Southampton"/>
    <s v="no"/>
    <b v="0"/>
    <n v="436"/>
    <n v="1"/>
    <n v="1.2761761664942817E+19"/>
  </r>
  <r>
    <b v="0"/>
    <x v="1"/>
    <x v="2"/>
    <x v="1"/>
    <x v="42"/>
    <x v="4"/>
    <x v="4"/>
    <x v="170"/>
    <x v="0"/>
    <x v="2"/>
    <x v="1"/>
    <b v="0"/>
    <m/>
    <s v="Southampton"/>
    <s v="yes"/>
    <b v="0"/>
    <n v="437"/>
    <n v="1"/>
    <n v="2.3877248568116275E+17"/>
  </r>
  <r>
    <b v="0"/>
    <x v="0"/>
    <x v="1"/>
    <x v="0"/>
    <x v="74"/>
    <x v="0"/>
    <x v="5"/>
    <x v="23"/>
    <x v="0"/>
    <x v="1"/>
    <x v="0"/>
    <b v="1"/>
    <s v="C"/>
    <s v="Southampton"/>
    <s v="no"/>
    <b v="0"/>
    <n v="438"/>
    <n v="0"/>
    <n v="1.4220655245003813E+19"/>
  </r>
  <r>
    <b v="0"/>
    <x v="0"/>
    <x v="2"/>
    <x v="0"/>
    <x v="14"/>
    <x v="1"/>
    <x v="0"/>
    <x v="29"/>
    <x v="0"/>
    <x v="2"/>
    <x v="0"/>
    <b v="1"/>
    <m/>
    <s v="Southampton"/>
    <s v="no"/>
    <b v="1"/>
    <n v="439"/>
    <n v="1"/>
    <n v="3.2556668802760243E+17"/>
  </r>
  <r>
    <b v="0"/>
    <x v="1"/>
    <x v="2"/>
    <x v="1"/>
    <x v="33"/>
    <x v="0"/>
    <x v="1"/>
    <x v="121"/>
    <x v="0"/>
    <x v="2"/>
    <x v="1"/>
    <b v="0"/>
    <m/>
    <s v="Southampton"/>
    <s v="yes"/>
    <b v="0"/>
    <n v="440"/>
    <n v="1"/>
    <n v="7.1650168450986419E+17"/>
  </r>
  <r>
    <b v="0"/>
    <x v="0"/>
    <x v="0"/>
    <x v="0"/>
    <x v="11"/>
    <x v="1"/>
    <x v="0"/>
    <x v="59"/>
    <x v="0"/>
    <x v="0"/>
    <x v="0"/>
    <b v="1"/>
    <m/>
    <s v="Southampton"/>
    <s v="no"/>
    <b v="1"/>
    <n v="441"/>
    <n v="1"/>
    <n v="3.5070807936875945E+18"/>
  </r>
  <r>
    <b v="0"/>
    <x v="0"/>
    <x v="0"/>
    <x v="0"/>
    <x v="37"/>
    <x v="0"/>
    <x v="0"/>
    <x v="71"/>
    <x v="0"/>
    <x v="0"/>
    <x v="0"/>
    <b v="1"/>
    <m/>
    <s v="Southampton"/>
    <s v="no"/>
    <b v="0"/>
    <n v="442"/>
    <n v="1"/>
    <n v="4.0885413882700611E+18"/>
  </r>
  <r>
    <b v="0"/>
    <x v="1"/>
    <x v="2"/>
    <x v="1"/>
    <x v="17"/>
    <x v="1"/>
    <x v="0"/>
    <x v="16"/>
    <x v="0"/>
    <x v="2"/>
    <x v="1"/>
    <b v="0"/>
    <m/>
    <s v="Southampton"/>
    <s v="yes"/>
    <b v="1"/>
    <n v="443"/>
    <n v="1"/>
    <n v="1.1450556400811897E+19"/>
  </r>
  <r>
    <b v="0"/>
    <x v="1"/>
    <x v="0"/>
    <x v="0"/>
    <x v="4"/>
    <x v="1"/>
    <x v="0"/>
    <x v="176"/>
    <x v="0"/>
    <x v="0"/>
    <x v="0"/>
    <b v="1"/>
    <m/>
    <s v="Southampton"/>
    <s v="yes"/>
    <b v="1"/>
    <n v="444"/>
    <n v="1"/>
    <n v="1.4994712040457839E+19"/>
  </r>
  <r>
    <b v="0"/>
    <x v="1"/>
    <x v="1"/>
    <x v="0"/>
    <x v="9"/>
    <x v="1"/>
    <x v="2"/>
    <x v="177"/>
    <x v="0"/>
    <x v="1"/>
    <x v="2"/>
    <b v="0"/>
    <s v="A"/>
    <s v="Southampton"/>
    <s v="yes"/>
    <b v="0"/>
    <n v="445"/>
    <n v="0"/>
    <n v="3.7533490035819607E+18"/>
  </r>
  <r>
    <b v="0"/>
    <x v="1"/>
    <x v="2"/>
    <x v="1"/>
    <x v="75"/>
    <x v="1"/>
    <x v="1"/>
    <x v="131"/>
    <x v="0"/>
    <x v="2"/>
    <x v="2"/>
    <b v="0"/>
    <m/>
    <s v="Southampton"/>
    <s v="yes"/>
    <b v="0"/>
    <n v="446"/>
    <n v="1"/>
    <n v="1.5615892528830425E+19"/>
  </r>
  <r>
    <b v="0"/>
    <x v="1"/>
    <x v="1"/>
    <x v="0"/>
    <x v="15"/>
    <x v="1"/>
    <x v="0"/>
    <x v="11"/>
    <x v="0"/>
    <x v="1"/>
    <x v="0"/>
    <b v="1"/>
    <m/>
    <s v="Southampton"/>
    <s v="yes"/>
    <b v="1"/>
    <n v="447"/>
    <n v="1"/>
    <n v="1.2742185642525811E+18"/>
  </r>
  <r>
    <b v="0"/>
    <x v="1"/>
    <x v="0"/>
    <x v="1"/>
    <x v="31"/>
    <x v="4"/>
    <x v="1"/>
    <x v="178"/>
    <x v="1"/>
    <x v="0"/>
    <x v="2"/>
    <b v="0"/>
    <m/>
    <s v="Cherbourg"/>
    <s v="yes"/>
    <b v="0"/>
    <n v="448"/>
    <n v="1"/>
    <n v="6.0283041350151465E+18"/>
  </r>
  <r>
    <b v="0"/>
    <x v="1"/>
    <x v="1"/>
    <x v="0"/>
    <x v="67"/>
    <x v="1"/>
    <x v="0"/>
    <x v="140"/>
    <x v="0"/>
    <x v="1"/>
    <x v="0"/>
    <b v="1"/>
    <s v="C"/>
    <s v="Southampton"/>
    <s v="yes"/>
    <b v="1"/>
    <n v="449"/>
    <n v="0"/>
    <n v="1.259630281837877E+19"/>
  </r>
  <r>
    <b v="0"/>
    <x v="0"/>
    <x v="2"/>
    <x v="0"/>
    <x v="62"/>
    <x v="0"/>
    <x v="2"/>
    <x v="44"/>
    <x v="0"/>
    <x v="2"/>
    <x v="0"/>
    <b v="1"/>
    <m/>
    <s v="Southampton"/>
    <s v="no"/>
    <b v="0"/>
    <n v="450"/>
    <n v="1"/>
    <n v="6.0956751347297741E+18"/>
  </r>
  <r>
    <b v="0"/>
    <x v="0"/>
    <x v="0"/>
    <x v="0"/>
    <x v="4"/>
    <x v="0"/>
    <x v="0"/>
    <x v="179"/>
    <x v="0"/>
    <x v="0"/>
    <x v="0"/>
    <b v="1"/>
    <m/>
    <s v="Southampton"/>
    <s v="no"/>
    <b v="0"/>
    <n v="451"/>
    <n v="1"/>
    <n v="9.9575498573310669E+18"/>
  </r>
  <r>
    <b v="0"/>
    <x v="0"/>
    <x v="1"/>
    <x v="0"/>
    <x v="39"/>
    <x v="1"/>
    <x v="0"/>
    <x v="44"/>
    <x v="1"/>
    <x v="1"/>
    <x v="0"/>
    <b v="1"/>
    <s v="C"/>
    <s v="Cherbourg"/>
    <s v="no"/>
    <b v="1"/>
    <n v="452"/>
    <n v="0"/>
    <n v="8.7376200398956104E+18"/>
  </r>
  <r>
    <b v="0"/>
    <x v="1"/>
    <x v="1"/>
    <x v="0"/>
    <x v="27"/>
    <x v="0"/>
    <x v="0"/>
    <x v="180"/>
    <x v="1"/>
    <x v="1"/>
    <x v="0"/>
    <b v="1"/>
    <s v="C"/>
    <s v="Cherbourg"/>
    <s v="yes"/>
    <b v="0"/>
    <n v="453"/>
    <n v="0"/>
    <n v="9.5160423131234222E+18"/>
  </r>
  <r>
    <b v="0"/>
    <x v="0"/>
    <x v="0"/>
    <x v="0"/>
    <x v="4"/>
    <x v="1"/>
    <x v="0"/>
    <x v="4"/>
    <x v="0"/>
    <x v="0"/>
    <x v="0"/>
    <b v="1"/>
    <m/>
    <s v="Southampton"/>
    <s v="no"/>
    <b v="1"/>
    <n v="454"/>
    <n v="1"/>
    <n v="5.4752096319063834E+17"/>
  </r>
  <r>
    <b v="0"/>
    <x v="1"/>
    <x v="0"/>
    <x v="0"/>
    <x v="28"/>
    <x v="1"/>
    <x v="0"/>
    <x v="25"/>
    <x v="1"/>
    <x v="0"/>
    <x v="0"/>
    <b v="1"/>
    <m/>
    <s v="Cherbourg"/>
    <s v="yes"/>
    <b v="1"/>
    <n v="455"/>
    <n v="1"/>
    <n v="9.6677795846610903E+18"/>
  </r>
  <r>
    <b v="0"/>
    <x v="0"/>
    <x v="1"/>
    <x v="0"/>
    <x v="29"/>
    <x v="1"/>
    <x v="0"/>
    <x v="11"/>
    <x v="0"/>
    <x v="1"/>
    <x v="0"/>
    <b v="1"/>
    <s v="E"/>
    <s v="Southampton"/>
    <s v="no"/>
    <b v="1"/>
    <n v="456"/>
    <n v="0"/>
    <n v="1.5715489674723942E+19"/>
  </r>
  <r>
    <b v="0"/>
    <x v="1"/>
    <x v="1"/>
    <x v="1"/>
    <x v="4"/>
    <x v="0"/>
    <x v="0"/>
    <x v="6"/>
    <x v="0"/>
    <x v="1"/>
    <x v="1"/>
    <b v="0"/>
    <s v="D"/>
    <s v="Southampton"/>
    <s v="yes"/>
    <b v="0"/>
    <n v="457"/>
    <n v="1"/>
    <n v="5.5218992707433882E+18"/>
  </r>
  <r>
    <b v="0"/>
    <x v="1"/>
    <x v="2"/>
    <x v="1"/>
    <x v="61"/>
    <x v="1"/>
    <x v="0"/>
    <x v="29"/>
    <x v="0"/>
    <x v="2"/>
    <x v="1"/>
    <b v="0"/>
    <m/>
    <s v="Southampton"/>
    <s v="yes"/>
    <b v="1"/>
    <n v="458"/>
    <n v="1"/>
    <n v="5.7142607639171246E+18"/>
  </r>
  <r>
    <b v="0"/>
    <x v="0"/>
    <x v="0"/>
    <x v="0"/>
    <x v="4"/>
    <x v="1"/>
    <x v="0"/>
    <x v="28"/>
    <x v="2"/>
    <x v="0"/>
    <x v="0"/>
    <b v="1"/>
    <m/>
    <s v="Queenstown"/>
    <s v="no"/>
    <b v="1"/>
    <n v="459"/>
    <n v="1"/>
    <n v="1.2915224541877271E+19"/>
  </r>
  <r>
    <b v="0"/>
    <x v="1"/>
    <x v="1"/>
    <x v="0"/>
    <x v="76"/>
    <x v="1"/>
    <x v="0"/>
    <x v="11"/>
    <x v="0"/>
    <x v="1"/>
    <x v="0"/>
    <b v="1"/>
    <s v="E"/>
    <s v="Southampton"/>
    <s v="yes"/>
    <b v="1"/>
    <n v="460"/>
    <n v="0"/>
    <n v="6.6664131561551155E+17"/>
  </r>
  <r>
    <b v="0"/>
    <x v="0"/>
    <x v="0"/>
    <x v="0"/>
    <x v="15"/>
    <x v="1"/>
    <x v="0"/>
    <x v="4"/>
    <x v="0"/>
    <x v="0"/>
    <x v="0"/>
    <b v="1"/>
    <m/>
    <s v="Southampton"/>
    <s v="no"/>
    <b v="1"/>
    <n v="461"/>
    <n v="1"/>
    <n v="6.1826276146178396E+18"/>
  </r>
  <r>
    <b v="0"/>
    <x v="0"/>
    <x v="1"/>
    <x v="0"/>
    <x v="47"/>
    <x v="1"/>
    <x v="0"/>
    <x v="181"/>
    <x v="0"/>
    <x v="1"/>
    <x v="0"/>
    <b v="1"/>
    <s v="E"/>
    <s v="Southampton"/>
    <s v="no"/>
    <b v="1"/>
    <n v="462"/>
    <n v="0"/>
    <n v="2.2426139315901563E+18"/>
  </r>
  <r>
    <b v="0"/>
    <x v="0"/>
    <x v="2"/>
    <x v="0"/>
    <x v="76"/>
    <x v="1"/>
    <x v="0"/>
    <x v="16"/>
    <x v="0"/>
    <x v="2"/>
    <x v="0"/>
    <b v="1"/>
    <m/>
    <s v="Southampton"/>
    <s v="no"/>
    <b v="1"/>
    <n v="463"/>
    <n v="1"/>
    <n v="1.5220152264889139E+19"/>
  </r>
  <r>
    <b v="0"/>
    <x v="0"/>
    <x v="0"/>
    <x v="0"/>
    <x v="4"/>
    <x v="1"/>
    <x v="0"/>
    <x v="4"/>
    <x v="0"/>
    <x v="0"/>
    <x v="0"/>
    <b v="1"/>
    <m/>
    <s v="Southampton"/>
    <s v="no"/>
    <b v="1"/>
    <n v="464"/>
    <n v="1"/>
    <n v="6.5372548337897308E+18"/>
  </r>
  <r>
    <b v="0"/>
    <x v="0"/>
    <x v="0"/>
    <x v="0"/>
    <x v="1"/>
    <x v="1"/>
    <x v="0"/>
    <x v="79"/>
    <x v="0"/>
    <x v="0"/>
    <x v="0"/>
    <b v="1"/>
    <m/>
    <s v="Southampton"/>
    <s v="no"/>
    <b v="1"/>
    <n v="465"/>
    <n v="1"/>
    <n v="1.1319629852559566E+18"/>
  </r>
  <r>
    <b v="0"/>
    <x v="0"/>
    <x v="2"/>
    <x v="0"/>
    <x v="4"/>
    <x v="1"/>
    <x v="0"/>
    <x v="104"/>
    <x v="0"/>
    <x v="2"/>
    <x v="0"/>
    <b v="1"/>
    <m/>
    <s v="Southampton"/>
    <s v="no"/>
    <b v="1"/>
    <n v="466"/>
    <n v="1"/>
    <n v="6.7451183081890714E+17"/>
  </r>
  <r>
    <b v="0"/>
    <x v="0"/>
    <x v="1"/>
    <x v="0"/>
    <x v="60"/>
    <x v="1"/>
    <x v="0"/>
    <x v="11"/>
    <x v="0"/>
    <x v="1"/>
    <x v="0"/>
    <b v="1"/>
    <m/>
    <s v="Southampton"/>
    <s v="no"/>
    <b v="1"/>
    <n v="467"/>
    <n v="1"/>
    <n v="1.3986409555885107E+19"/>
  </r>
  <r>
    <b v="0"/>
    <x v="0"/>
    <x v="0"/>
    <x v="0"/>
    <x v="4"/>
    <x v="1"/>
    <x v="0"/>
    <x v="182"/>
    <x v="2"/>
    <x v="0"/>
    <x v="0"/>
    <b v="1"/>
    <m/>
    <s v="Queenstown"/>
    <s v="no"/>
    <b v="1"/>
    <n v="468"/>
    <n v="1"/>
    <n v="1.111267894195867E+19"/>
  </r>
  <r>
    <b v="0"/>
    <x v="1"/>
    <x v="0"/>
    <x v="1"/>
    <x v="77"/>
    <x v="4"/>
    <x v="1"/>
    <x v="178"/>
    <x v="1"/>
    <x v="0"/>
    <x v="2"/>
    <b v="0"/>
    <m/>
    <s v="Cherbourg"/>
    <s v="yes"/>
    <b v="0"/>
    <n v="469"/>
    <n v="1"/>
    <n v="1.1990813550686589E+19"/>
  </r>
  <r>
    <b v="0"/>
    <x v="0"/>
    <x v="0"/>
    <x v="0"/>
    <x v="4"/>
    <x v="1"/>
    <x v="0"/>
    <x v="0"/>
    <x v="0"/>
    <x v="0"/>
    <x v="0"/>
    <b v="1"/>
    <m/>
    <s v="Southampton"/>
    <s v="no"/>
    <b v="1"/>
    <n v="470"/>
    <n v="1"/>
    <n v="3.7388176074446326E+18"/>
  </r>
  <r>
    <b v="0"/>
    <x v="0"/>
    <x v="0"/>
    <x v="0"/>
    <x v="1"/>
    <x v="1"/>
    <x v="0"/>
    <x v="51"/>
    <x v="0"/>
    <x v="0"/>
    <x v="0"/>
    <b v="1"/>
    <m/>
    <s v="Southampton"/>
    <s v="no"/>
    <b v="1"/>
    <n v="471"/>
    <n v="1"/>
    <n v="3.1088527787410371E+18"/>
  </r>
  <r>
    <b v="0"/>
    <x v="1"/>
    <x v="2"/>
    <x v="1"/>
    <x v="40"/>
    <x v="0"/>
    <x v="2"/>
    <x v="44"/>
    <x v="0"/>
    <x v="2"/>
    <x v="1"/>
    <b v="0"/>
    <m/>
    <s v="Southampton"/>
    <s v="yes"/>
    <b v="0"/>
    <n v="472"/>
    <n v="1"/>
    <n v="4.6445921535684413E+18"/>
  </r>
  <r>
    <b v="0"/>
    <x v="1"/>
    <x v="2"/>
    <x v="1"/>
    <x v="41"/>
    <x v="1"/>
    <x v="0"/>
    <x v="183"/>
    <x v="1"/>
    <x v="2"/>
    <x v="1"/>
    <b v="0"/>
    <s v="D"/>
    <s v="Cherbourg"/>
    <s v="yes"/>
    <b v="1"/>
    <n v="473"/>
    <n v="0"/>
    <n v="3.4367275988039624E+18"/>
  </r>
  <r>
    <b v="0"/>
    <x v="0"/>
    <x v="0"/>
    <x v="1"/>
    <x v="0"/>
    <x v="1"/>
    <x v="0"/>
    <x v="184"/>
    <x v="0"/>
    <x v="0"/>
    <x v="1"/>
    <b v="0"/>
    <m/>
    <s v="Southampton"/>
    <s v="no"/>
    <b v="1"/>
    <n v="474"/>
    <n v="1"/>
    <n v="1.2443139894890107E+19"/>
  </r>
  <r>
    <b v="0"/>
    <x v="0"/>
    <x v="1"/>
    <x v="0"/>
    <x v="4"/>
    <x v="1"/>
    <x v="0"/>
    <x v="31"/>
    <x v="0"/>
    <x v="1"/>
    <x v="0"/>
    <b v="1"/>
    <s v="A"/>
    <s v="Southampton"/>
    <s v="no"/>
    <b v="1"/>
    <n v="475"/>
    <n v="1"/>
    <n v="1.1479799151506625E+19"/>
  </r>
  <r>
    <b v="0"/>
    <x v="0"/>
    <x v="2"/>
    <x v="0"/>
    <x v="15"/>
    <x v="0"/>
    <x v="0"/>
    <x v="35"/>
    <x v="0"/>
    <x v="2"/>
    <x v="0"/>
    <b v="1"/>
    <m/>
    <s v="Southampton"/>
    <s v="no"/>
    <b v="0"/>
    <n v="476"/>
    <n v="1"/>
    <n v="1.0603350370044232E+19"/>
  </r>
  <r>
    <b v="0"/>
    <x v="0"/>
    <x v="0"/>
    <x v="0"/>
    <x v="28"/>
    <x v="0"/>
    <x v="0"/>
    <x v="185"/>
    <x v="0"/>
    <x v="0"/>
    <x v="0"/>
    <b v="1"/>
    <m/>
    <s v="Southampton"/>
    <s v="no"/>
    <b v="0"/>
    <n v="477"/>
    <n v="1"/>
    <n v="1.6796183893324458E+19"/>
  </r>
  <r>
    <b v="0"/>
    <x v="0"/>
    <x v="0"/>
    <x v="0"/>
    <x v="0"/>
    <x v="1"/>
    <x v="0"/>
    <x v="186"/>
    <x v="0"/>
    <x v="0"/>
    <x v="0"/>
    <b v="1"/>
    <m/>
    <s v="Southampton"/>
    <s v="no"/>
    <b v="1"/>
    <n v="478"/>
    <n v="1"/>
    <n v="1.5008665332956451E+19"/>
  </r>
  <r>
    <b v="0"/>
    <x v="1"/>
    <x v="0"/>
    <x v="1"/>
    <x v="6"/>
    <x v="1"/>
    <x v="1"/>
    <x v="187"/>
    <x v="0"/>
    <x v="0"/>
    <x v="2"/>
    <b v="0"/>
    <m/>
    <s v="Southampton"/>
    <s v="yes"/>
    <b v="0"/>
    <n v="479"/>
    <n v="1"/>
    <n v="9.2829646565258363E+18"/>
  </r>
  <r>
    <b v="0"/>
    <x v="0"/>
    <x v="0"/>
    <x v="0"/>
    <x v="52"/>
    <x v="5"/>
    <x v="2"/>
    <x v="45"/>
    <x v="0"/>
    <x v="0"/>
    <x v="2"/>
    <b v="0"/>
    <m/>
    <s v="Southampton"/>
    <s v="no"/>
    <b v="0"/>
    <n v="480"/>
    <n v="1"/>
    <n v="1.3786795504582722E+19"/>
  </r>
  <r>
    <b v="0"/>
    <x v="0"/>
    <x v="2"/>
    <x v="0"/>
    <x v="4"/>
    <x v="1"/>
    <x v="0"/>
    <x v="104"/>
    <x v="0"/>
    <x v="2"/>
    <x v="0"/>
    <b v="1"/>
    <m/>
    <s v="Southampton"/>
    <s v="no"/>
    <b v="1"/>
    <n v="481"/>
    <n v="1"/>
    <n v="1.7117602464757273E+19"/>
  </r>
  <r>
    <b v="0"/>
    <x v="0"/>
    <x v="0"/>
    <x v="0"/>
    <x v="61"/>
    <x v="1"/>
    <x v="0"/>
    <x v="4"/>
    <x v="0"/>
    <x v="0"/>
    <x v="0"/>
    <b v="1"/>
    <m/>
    <s v="Southampton"/>
    <s v="no"/>
    <b v="1"/>
    <n v="482"/>
    <n v="1"/>
    <n v="1.4529084348482449E+19"/>
  </r>
  <r>
    <b v="0"/>
    <x v="1"/>
    <x v="0"/>
    <x v="1"/>
    <x v="68"/>
    <x v="1"/>
    <x v="0"/>
    <x v="188"/>
    <x v="0"/>
    <x v="0"/>
    <x v="1"/>
    <b v="0"/>
    <m/>
    <s v="Southampton"/>
    <s v="yes"/>
    <b v="1"/>
    <n v="483"/>
    <n v="1"/>
    <n v="1.402482219347082E+18"/>
  </r>
  <r>
    <b v="0"/>
    <x v="1"/>
    <x v="1"/>
    <x v="0"/>
    <x v="37"/>
    <x v="0"/>
    <x v="0"/>
    <x v="136"/>
    <x v="1"/>
    <x v="1"/>
    <x v="0"/>
    <b v="1"/>
    <s v="B"/>
    <s v="Cherbourg"/>
    <s v="yes"/>
    <b v="0"/>
    <n v="484"/>
    <n v="0"/>
    <n v="7.598443546262186E+18"/>
  </r>
  <r>
    <b v="0"/>
    <x v="0"/>
    <x v="0"/>
    <x v="1"/>
    <x v="4"/>
    <x v="2"/>
    <x v="1"/>
    <x v="102"/>
    <x v="0"/>
    <x v="0"/>
    <x v="1"/>
    <b v="0"/>
    <m/>
    <s v="Southampton"/>
    <s v="no"/>
    <b v="0"/>
    <n v="485"/>
    <n v="1"/>
    <n v="1.3609678463411155E+19"/>
  </r>
  <r>
    <b v="0"/>
    <x v="1"/>
    <x v="1"/>
    <x v="1"/>
    <x v="3"/>
    <x v="0"/>
    <x v="0"/>
    <x v="117"/>
    <x v="0"/>
    <x v="1"/>
    <x v="1"/>
    <b v="0"/>
    <s v="C"/>
    <s v="Southampton"/>
    <s v="yes"/>
    <b v="0"/>
    <n v="486"/>
    <n v="0"/>
    <n v="8.6649804465713193E+18"/>
  </r>
  <r>
    <b v="0"/>
    <x v="0"/>
    <x v="1"/>
    <x v="0"/>
    <x v="10"/>
    <x v="1"/>
    <x v="0"/>
    <x v="132"/>
    <x v="1"/>
    <x v="1"/>
    <x v="0"/>
    <b v="1"/>
    <s v="B"/>
    <s v="Cherbourg"/>
    <s v="no"/>
    <b v="1"/>
    <n v="487"/>
    <n v="0"/>
    <n v="1.3922358260064168E+19"/>
  </r>
  <r>
    <b v="0"/>
    <x v="0"/>
    <x v="0"/>
    <x v="0"/>
    <x v="39"/>
    <x v="1"/>
    <x v="0"/>
    <x v="4"/>
    <x v="0"/>
    <x v="0"/>
    <x v="0"/>
    <b v="1"/>
    <m/>
    <s v="Southampton"/>
    <s v="no"/>
    <b v="1"/>
    <n v="488"/>
    <n v="1"/>
    <n v="4.9547840020776366E+18"/>
  </r>
  <r>
    <b v="0"/>
    <x v="1"/>
    <x v="0"/>
    <x v="0"/>
    <x v="52"/>
    <x v="0"/>
    <x v="1"/>
    <x v="156"/>
    <x v="0"/>
    <x v="0"/>
    <x v="2"/>
    <b v="0"/>
    <m/>
    <s v="Southampton"/>
    <s v="yes"/>
    <b v="0"/>
    <n v="489"/>
    <n v="1"/>
    <n v="7.8455493016581286E+17"/>
  </r>
  <r>
    <b v="0"/>
    <x v="0"/>
    <x v="0"/>
    <x v="0"/>
    <x v="4"/>
    <x v="0"/>
    <x v="0"/>
    <x v="179"/>
    <x v="0"/>
    <x v="0"/>
    <x v="0"/>
    <b v="1"/>
    <m/>
    <s v="Southampton"/>
    <s v="no"/>
    <b v="0"/>
    <n v="490"/>
    <n v="1"/>
    <n v="3.4754139841490135E+18"/>
  </r>
  <r>
    <b v="0"/>
    <x v="0"/>
    <x v="0"/>
    <x v="0"/>
    <x v="23"/>
    <x v="1"/>
    <x v="0"/>
    <x v="0"/>
    <x v="0"/>
    <x v="0"/>
    <x v="0"/>
    <b v="1"/>
    <m/>
    <s v="Southampton"/>
    <s v="no"/>
    <b v="1"/>
    <n v="491"/>
    <n v="1"/>
    <n v="1.2467815005166176E+19"/>
  </r>
  <r>
    <b v="0"/>
    <x v="0"/>
    <x v="1"/>
    <x v="0"/>
    <x v="13"/>
    <x v="1"/>
    <x v="0"/>
    <x v="140"/>
    <x v="0"/>
    <x v="1"/>
    <x v="0"/>
    <b v="1"/>
    <s v="C"/>
    <s v="Southampton"/>
    <s v="no"/>
    <b v="1"/>
    <n v="492"/>
    <n v="0"/>
    <n v="2.9845314529315272E+18"/>
  </r>
  <r>
    <b v="0"/>
    <x v="0"/>
    <x v="1"/>
    <x v="0"/>
    <x v="45"/>
    <x v="1"/>
    <x v="0"/>
    <x v="189"/>
    <x v="1"/>
    <x v="1"/>
    <x v="0"/>
    <b v="1"/>
    <m/>
    <s v="Cherbourg"/>
    <s v="no"/>
    <b v="1"/>
    <n v="493"/>
    <n v="1"/>
    <n v="1.0256981334081477E+18"/>
  </r>
  <r>
    <b v="0"/>
    <x v="0"/>
    <x v="0"/>
    <x v="0"/>
    <x v="23"/>
    <x v="1"/>
    <x v="0"/>
    <x v="4"/>
    <x v="0"/>
    <x v="0"/>
    <x v="0"/>
    <b v="1"/>
    <m/>
    <s v="Southampton"/>
    <s v="no"/>
    <b v="1"/>
    <n v="494"/>
    <n v="1"/>
    <n v="1.8112498440098574E+19"/>
  </r>
  <r>
    <b v="0"/>
    <x v="0"/>
    <x v="0"/>
    <x v="0"/>
    <x v="4"/>
    <x v="1"/>
    <x v="0"/>
    <x v="74"/>
    <x v="1"/>
    <x v="0"/>
    <x v="0"/>
    <b v="1"/>
    <m/>
    <s v="Cherbourg"/>
    <s v="no"/>
    <b v="1"/>
    <n v="495"/>
    <n v="1"/>
    <n v="1.0751829843266802E+19"/>
  </r>
  <r>
    <b v="0"/>
    <x v="1"/>
    <x v="1"/>
    <x v="1"/>
    <x v="5"/>
    <x v="0"/>
    <x v="0"/>
    <x v="190"/>
    <x v="1"/>
    <x v="1"/>
    <x v="1"/>
    <b v="0"/>
    <s v="D"/>
    <s v="Cherbourg"/>
    <s v="yes"/>
    <b v="0"/>
    <n v="496"/>
    <n v="0"/>
    <n v="1.8667574026773844E+18"/>
  </r>
  <r>
    <b v="0"/>
    <x v="0"/>
    <x v="0"/>
    <x v="0"/>
    <x v="4"/>
    <x v="1"/>
    <x v="0"/>
    <x v="191"/>
    <x v="0"/>
    <x v="0"/>
    <x v="0"/>
    <b v="1"/>
    <m/>
    <s v="Southampton"/>
    <s v="no"/>
    <b v="1"/>
    <n v="497"/>
    <n v="1"/>
    <n v="1.3824887612570012E+19"/>
  </r>
  <r>
    <b v="0"/>
    <x v="0"/>
    <x v="1"/>
    <x v="1"/>
    <x v="37"/>
    <x v="0"/>
    <x v="2"/>
    <x v="139"/>
    <x v="0"/>
    <x v="1"/>
    <x v="1"/>
    <b v="0"/>
    <s v="C"/>
    <s v="Southampton"/>
    <s v="no"/>
    <b v="0"/>
    <n v="498"/>
    <n v="0"/>
    <n v="1.2778432896738705E+19"/>
  </r>
  <r>
    <b v="0"/>
    <x v="0"/>
    <x v="0"/>
    <x v="0"/>
    <x v="42"/>
    <x v="1"/>
    <x v="0"/>
    <x v="88"/>
    <x v="0"/>
    <x v="0"/>
    <x v="0"/>
    <b v="1"/>
    <m/>
    <s v="Southampton"/>
    <s v="no"/>
    <b v="1"/>
    <n v="499"/>
    <n v="1"/>
    <n v="1.8057888687194243E+19"/>
  </r>
  <r>
    <b v="0"/>
    <x v="0"/>
    <x v="0"/>
    <x v="0"/>
    <x v="34"/>
    <x v="1"/>
    <x v="0"/>
    <x v="51"/>
    <x v="0"/>
    <x v="0"/>
    <x v="0"/>
    <b v="1"/>
    <m/>
    <s v="Southampton"/>
    <s v="no"/>
    <b v="1"/>
    <n v="500"/>
    <n v="1"/>
    <n v="5.874023391812009E+18"/>
  </r>
  <r>
    <b v="0"/>
    <x v="0"/>
    <x v="0"/>
    <x v="1"/>
    <x v="23"/>
    <x v="1"/>
    <x v="0"/>
    <x v="28"/>
    <x v="2"/>
    <x v="0"/>
    <x v="1"/>
    <b v="0"/>
    <m/>
    <s v="Queenstown"/>
    <s v="no"/>
    <b v="1"/>
    <n v="501"/>
    <n v="1"/>
    <n v="4.327282159669077E+18"/>
  </r>
  <r>
    <b v="0"/>
    <x v="0"/>
    <x v="0"/>
    <x v="1"/>
    <x v="4"/>
    <x v="1"/>
    <x v="0"/>
    <x v="192"/>
    <x v="2"/>
    <x v="0"/>
    <x v="1"/>
    <b v="0"/>
    <m/>
    <s v="Queenstown"/>
    <s v="no"/>
    <b v="1"/>
    <n v="502"/>
    <n v="1"/>
    <n v="5.1997589532763808E+17"/>
  </r>
  <r>
    <b v="0"/>
    <x v="0"/>
    <x v="0"/>
    <x v="1"/>
    <x v="46"/>
    <x v="1"/>
    <x v="0"/>
    <x v="188"/>
    <x v="0"/>
    <x v="0"/>
    <x v="1"/>
    <b v="0"/>
    <m/>
    <s v="Southampton"/>
    <s v="no"/>
    <b v="1"/>
    <n v="503"/>
    <n v="1"/>
    <n v="1.3203854647837108E+19"/>
  </r>
  <r>
    <b v="0"/>
    <x v="1"/>
    <x v="1"/>
    <x v="1"/>
    <x v="36"/>
    <x v="1"/>
    <x v="0"/>
    <x v="126"/>
    <x v="0"/>
    <x v="1"/>
    <x v="1"/>
    <b v="0"/>
    <s v="B"/>
    <s v="Southampton"/>
    <s v="yes"/>
    <b v="1"/>
    <n v="504"/>
    <n v="0"/>
    <n v="3.375984585072404E+18"/>
  </r>
  <r>
    <b v="0"/>
    <x v="0"/>
    <x v="1"/>
    <x v="0"/>
    <x v="24"/>
    <x v="0"/>
    <x v="0"/>
    <x v="144"/>
    <x v="1"/>
    <x v="1"/>
    <x v="0"/>
    <b v="1"/>
    <s v="C"/>
    <s v="Cherbourg"/>
    <s v="no"/>
    <b v="0"/>
    <n v="505"/>
    <n v="0"/>
    <n v="1.445603933652026E+19"/>
  </r>
  <r>
    <b v="0"/>
    <x v="1"/>
    <x v="2"/>
    <x v="1"/>
    <x v="40"/>
    <x v="1"/>
    <x v="2"/>
    <x v="19"/>
    <x v="0"/>
    <x v="2"/>
    <x v="1"/>
    <b v="0"/>
    <m/>
    <s v="Southampton"/>
    <s v="yes"/>
    <b v="0"/>
    <n v="506"/>
    <n v="1"/>
    <n v="7.2480586426216479E+18"/>
  </r>
  <r>
    <b v="0"/>
    <x v="1"/>
    <x v="1"/>
    <x v="0"/>
    <x v="4"/>
    <x v="1"/>
    <x v="0"/>
    <x v="11"/>
    <x v="0"/>
    <x v="1"/>
    <x v="0"/>
    <b v="1"/>
    <m/>
    <s v="Southampton"/>
    <s v="yes"/>
    <b v="1"/>
    <n v="507"/>
    <n v="1"/>
    <n v="1.0231598917616581E+19"/>
  </r>
  <r>
    <b v="0"/>
    <x v="0"/>
    <x v="0"/>
    <x v="0"/>
    <x v="17"/>
    <x v="1"/>
    <x v="0"/>
    <x v="193"/>
    <x v="0"/>
    <x v="0"/>
    <x v="0"/>
    <b v="1"/>
    <m/>
    <s v="Southampton"/>
    <s v="no"/>
    <b v="1"/>
    <n v="508"/>
    <n v="1"/>
    <n v="2.9788238604585697E+18"/>
  </r>
  <r>
    <b v="0"/>
    <x v="1"/>
    <x v="0"/>
    <x v="0"/>
    <x v="2"/>
    <x v="1"/>
    <x v="0"/>
    <x v="54"/>
    <x v="0"/>
    <x v="0"/>
    <x v="0"/>
    <b v="1"/>
    <m/>
    <s v="Southampton"/>
    <s v="yes"/>
    <b v="1"/>
    <n v="509"/>
    <n v="1"/>
    <n v="3.8582784980404531E+18"/>
  </r>
  <r>
    <b v="0"/>
    <x v="1"/>
    <x v="0"/>
    <x v="0"/>
    <x v="28"/>
    <x v="1"/>
    <x v="0"/>
    <x v="28"/>
    <x v="2"/>
    <x v="0"/>
    <x v="0"/>
    <b v="1"/>
    <m/>
    <s v="Queenstown"/>
    <s v="yes"/>
    <b v="1"/>
    <n v="510"/>
    <n v="1"/>
    <n v="7.3416316099316982E+18"/>
  </r>
  <r>
    <b v="0"/>
    <x v="0"/>
    <x v="0"/>
    <x v="0"/>
    <x v="4"/>
    <x v="1"/>
    <x v="0"/>
    <x v="4"/>
    <x v="0"/>
    <x v="0"/>
    <x v="0"/>
    <b v="1"/>
    <m/>
    <s v="Southampton"/>
    <s v="no"/>
    <b v="1"/>
    <n v="511"/>
    <n v="1"/>
    <n v="1.398525531487412E+19"/>
  </r>
  <r>
    <b v="0"/>
    <x v="1"/>
    <x v="1"/>
    <x v="0"/>
    <x v="62"/>
    <x v="1"/>
    <x v="0"/>
    <x v="194"/>
    <x v="0"/>
    <x v="1"/>
    <x v="0"/>
    <b v="1"/>
    <s v="E"/>
    <s v="Southampton"/>
    <s v="yes"/>
    <b v="1"/>
    <n v="512"/>
    <n v="0"/>
    <n v="6.0365002567999529E+18"/>
  </r>
  <r>
    <b v="0"/>
    <x v="1"/>
    <x v="1"/>
    <x v="1"/>
    <x v="5"/>
    <x v="0"/>
    <x v="0"/>
    <x v="195"/>
    <x v="1"/>
    <x v="1"/>
    <x v="1"/>
    <b v="0"/>
    <m/>
    <s v="Cherbourg"/>
    <s v="yes"/>
    <b v="0"/>
    <n v="513"/>
    <n v="1"/>
    <n v="1.4233928384021969E+19"/>
  </r>
  <r>
    <b v="0"/>
    <x v="0"/>
    <x v="0"/>
    <x v="0"/>
    <x v="42"/>
    <x v="1"/>
    <x v="0"/>
    <x v="196"/>
    <x v="0"/>
    <x v="0"/>
    <x v="0"/>
    <b v="1"/>
    <m/>
    <s v="Southampton"/>
    <s v="no"/>
    <b v="1"/>
    <n v="514"/>
    <n v="1"/>
    <n v="6.7633015365760236E+18"/>
  </r>
  <r>
    <b v="0"/>
    <x v="0"/>
    <x v="1"/>
    <x v="0"/>
    <x v="47"/>
    <x v="1"/>
    <x v="0"/>
    <x v="197"/>
    <x v="0"/>
    <x v="1"/>
    <x v="0"/>
    <b v="1"/>
    <s v="D"/>
    <s v="Southampton"/>
    <s v="no"/>
    <b v="1"/>
    <n v="515"/>
    <n v="0"/>
    <n v="2.7887788752047805E+18"/>
  </r>
  <r>
    <b v="0"/>
    <x v="1"/>
    <x v="2"/>
    <x v="1"/>
    <x v="15"/>
    <x v="1"/>
    <x v="0"/>
    <x v="29"/>
    <x v="0"/>
    <x v="2"/>
    <x v="1"/>
    <b v="0"/>
    <s v="F"/>
    <s v="Southampton"/>
    <s v="yes"/>
    <b v="1"/>
    <n v="516"/>
    <n v="0"/>
    <n v="3.4749325972511391E+18"/>
  </r>
  <r>
    <b v="0"/>
    <x v="0"/>
    <x v="0"/>
    <x v="0"/>
    <x v="4"/>
    <x v="1"/>
    <x v="0"/>
    <x v="72"/>
    <x v="2"/>
    <x v="0"/>
    <x v="0"/>
    <b v="1"/>
    <m/>
    <s v="Queenstown"/>
    <s v="no"/>
    <b v="1"/>
    <n v="517"/>
    <n v="1"/>
    <n v="1.0504993184762882E+19"/>
  </r>
  <r>
    <b v="0"/>
    <x v="1"/>
    <x v="2"/>
    <x v="1"/>
    <x v="62"/>
    <x v="0"/>
    <x v="0"/>
    <x v="19"/>
    <x v="0"/>
    <x v="2"/>
    <x v="1"/>
    <b v="0"/>
    <m/>
    <s v="Southampton"/>
    <s v="yes"/>
    <b v="0"/>
    <n v="518"/>
    <n v="1"/>
    <n v="5.0514264244527032E+18"/>
  </r>
  <r>
    <b v="0"/>
    <x v="0"/>
    <x v="0"/>
    <x v="0"/>
    <x v="35"/>
    <x v="1"/>
    <x v="0"/>
    <x v="25"/>
    <x v="0"/>
    <x v="0"/>
    <x v="0"/>
    <b v="1"/>
    <m/>
    <s v="Southampton"/>
    <s v="no"/>
    <b v="1"/>
    <n v="519"/>
    <n v="1"/>
    <n v="5.5728001458014556E+18"/>
  </r>
  <r>
    <b v="0"/>
    <x v="1"/>
    <x v="1"/>
    <x v="1"/>
    <x v="39"/>
    <x v="1"/>
    <x v="0"/>
    <x v="198"/>
    <x v="0"/>
    <x v="1"/>
    <x v="1"/>
    <b v="0"/>
    <s v="B"/>
    <s v="Southampton"/>
    <s v="yes"/>
    <b v="1"/>
    <n v="520"/>
    <n v="0"/>
    <n v="1.1361131447387222E+19"/>
  </r>
  <r>
    <b v="0"/>
    <x v="0"/>
    <x v="0"/>
    <x v="0"/>
    <x v="0"/>
    <x v="1"/>
    <x v="0"/>
    <x v="25"/>
    <x v="0"/>
    <x v="0"/>
    <x v="0"/>
    <b v="1"/>
    <m/>
    <s v="Southampton"/>
    <s v="no"/>
    <b v="1"/>
    <n v="521"/>
    <n v="1"/>
    <n v="6.4803947053321001E+18"/>
  </r>
  <r>
    <b v="0"/>
    <x v="0"/>
    <x v="0"/>
    <x v="0"/>
    <x v="4"/>
    <x v="1"/>
    <x v="0"/>
    <x v="18"/>
    <x v="1"/>
    <x v="0"/>
    <x v="0"/>
    <b v="1"/>
    <m/>
    <s v="Cherbourg"/>
    <s v="no"/>
    <b v="1"/>
    <n v="522"/>
    <n v="1"/>
    <n v="3.607998933086847E+18"/>
  </r>
  <r>
    <b v="0"/>
    <x v="1"/>
    <x v="1"/>
    <x v="1"/>
    <x v="57"/>
    <x v="1"/>
    <x v="1"/>
    <x v="153"/>
    <x v="1"/>
    <x v="1"/>
    <x v="1"/>
    <b v="0"/>
    <s v="B"/>
    <s v="Cherbourg"/>
    <s v="yes"/>
    <b v="0"/>
    <n v="523"/>
    <n v="0"/>
    <n v="7.8193054565628969E+18"/>
  </r>
  <r>
    <b v="0"/>
    <x v="0"/>
    <x v="0"/>
    <x v="0"/>
    <x v="4"/>
    <x v="1"/>
    <x v="0"/>
    <x v="32"/>
    <x v="1"/>
    <x v="0"/>
    <x v="0"/>
    <b v="1"/>
    <m/>
    <s v="Cherbourg"/>
    <s v="no"/>
    <b v="1"/>
    <n v="524"/>
    <n v="1"/>
    <n v="6.2033435759635538E+18"/>
  </r>
  <r>
    <b v="0"/>
    <x v="0"/>
    <x v="0"/>
    <x v="0"/>
    <x v="56"/>
    <x v="1"/>
    <x v="0"/>
    <x v="28"/>
    <x v="2"/>
    <x v="0"/>
    <x v="0"/>
    <b v="1"/>
    <m/>
    <s v="Queenstown"/>
    <s v="no"/>
    <b v="1"/>
    <n v="525"/>
    <n v="1"/>
    <n v="1.2026861967344349E+19"/>
  </r>
  <r>
    <b v="0"/>
    <x v="1"/>
    <x v="2"/>
    <x v="1"/>
    <x v="61"/>
    <x v="1"/>
    <x v="0"/>
    <x v="29"/>
    <x v="0"/>
    <x v="2"/>
    <x v="1"/>
    <b v="0"/>
    <m/>
    <s v="Southampton"/>
    <s v="yes"/>
    <b v="1"/>
    <n v="526"/>
    <n v="1"/>
    <n v="1.5597241490076424E+19"/>
  </r>
  <r>
    <b v="0"/>
    <x v="0"/>
    <x v="1"/>
    <x v="0"/>
    <x v="4"/>
    <x v="1"/>
    <x v="0"/>
    <x v="199"/>
    <x v="0"/>
    <x v="1"/>
    <x v="0"/>
    <b v="1"/>
    <s v="C"/>
    <s v="Southampton"/>
    <s v="no"/>
    <b v="1"/>
    <n v="527"/>
    <n v="1"/>
    <n v="6.3131376027774618E+18"/>
  </r>
  <r>
    <b v="0"/>
    <x v="0"/>
    <x v="0"/>
    <x v="0"/>
    <x v="12"/>
    <x v="1"/>
    <x v="0"/>
    <x v="2"/>
    <x v="0"/>
    <x v="0"/>
    <x v="0"/>
    <b v="1"/>
    <m/>
    <s v="Southampton"/>
    <s v="no"/>
    <b v="1"/>
    <n v="528"/>
    <n v="1"/>
    <n v="4.2206513466678927E+18"/>
  </r>
  <r>
    <b v="0"/>
    <x v="0"/>
    <x v="2"/>
    <x v="0"/>
    <x v="41"/>
    <x v="4"/>
    <x v="1"/>
    <x v="86"/>
    <x v="0"/>
    <x v="2"/>
    <x v="0"/>
    <b v="1"/>
    <m/>
    <s v="Southampton"/>
    <s v="no"/>
    <b v="0"/>
    <n v="529"/>
    <n v="1"/>
    <n v="1.6559210884191402E+19"/>
  </r>
  <r>
    <b v="0"/>
    <x v="1"/>
    <x v="2"/>
    <x v="1"/>
    <x v="6"/>
    <x v="0"/>
    <x v="1"/>
    <x v="19"/>
    <x v="0"/>
    <x v="2"/>
    <x v="2"/>
    <b v="0"/>
    <m/>
    <s v="Southampton"/>
    <s v="yes"/>
    <b v="0"/>
    <n v="530"/>
    <n v="1"/>
    <n v="1.0285578866977542E+19"/>
  </r>
  <r>
    <b v="0"/>
    <x v="0"/>
    <x v="0"/>
    <x v="0"/>
    <x v="4"/>
    <x v="1"/>
    <x v="0"/>
    <x v="32"/>
    <x v="1"/>
    <x v="0"/>
    <x v="0"/>
    <b v="1"/>
    <m/>
    <s v="Cherbourg"/>
    <s v="no"/>
    <b v="1"/>
    <n v="531"/>
    <n v="1"/>
    <n v="4.5067716962809108E+18"/>
  </r>
  <r>
    <b v="0"/>
    <x v="0"/>
    <x v="0"/>
    <x v="0"/>
    <x v="34"/>
    <x v="0"/>
    <x v="1"/>
    <x v="32"/>
    <x v="1"/>
    <x v="0"/>
    <x v="0"/>
    <b v="1"/>
    <m/>
    <s v="Cherbourg"/>
    <s v="no"/>
    <b v="0"/>
    <n v="532"/>
    <n v="1"/>
    <n v="4.3841189330783703E+18"/>
  </r>
  <r>
    <b v="0"/>
    <x v="1"/>
    <x v="0"/>
    <x v="1"/>
    <x v="4"/>
    <x v="1"/>
    <x v="2"/>
    <x v="77"/>
    <x v="1"/>
    <x v="0"/>
    <x v="1"/>
    <b v="0"/>
    <m/>
    <s v="Cherbourg"/>
    <s v="yes"/>
    <b v="0"/>
    <n v="533"/>
    <n v="1"/>
    <n v="1.4410101576439382E+19"/>
  </r>
  <r>
    <b v="0"/>
    <x v="0"/>
    <x v="0"/>
    <x v="1"/>
    <x v="39"/>
    <x v="1"/>
    <x v="0"/>
    <x v="51"/>
    <x v="0"/>
    <x v="0"/>
    <x v="1"/>
    <b v="0"/>
    <m/>
    <s v="Southampton"/>
    <s v="no"/>
    <b v="1"/>
    <n v="534"/>
    <n v="1"/>
    <n v="1.4246787983138996E+19"/>
  </r>
  <r>
    <b v="0"/>
    <x v="1"/>
    <x v="2"/>
    <x v="1"/>
    <x v="26"/>
    <x v="1"/>
    <x v="2"/>
    <x v="121"/>
    <x v="0"/>
    <x v="2"/>
    <x v="2"/>
    <b v="0"/>
    <m/>
    <s v="Southampton"/>
    <s v="yes"/>
    <b v="0"/>
    <n v="535"/>
    <n v="1"/>
    <n v="4.222995825301162E+18"/>
  </r>
  <r>
    <b v="0"/>
    <x v="0"/>
    <x v="1"/>
    <x v="0"/>
    <x v="33"/>
    <x v="1"/>
    <x v="0"/>
    <x v="11"/>
    <x v="0"/>
    <x v="1"/>
    <x v="0"/>
    <b v="1"/>
    <s v="B"/>
    <s v="Southampton"/>
    <s v="no"/>
    <b v="1"/>
    <n v="536"/>
    <n v="0"/>
    <n v="1.7943930879286237E+19"/>
  </r>
  <r>
    <b v="0"/>
    <x v="1"/>
    <x v="1"/>
    <x v="1"/>
    <x v="39"/>
    <x v="1"/>
    <x v="0"/>
    <x v="200"/>
    <x v="1"/>
    <x v="1"/>
    <x v="1"/>
    <b v="0"/>
    <m/>
    <s v="Cherbourg"/>
    <s v="yes"/>
    <b v="1"/>
    <n v="537"/>
    <n v="1"/>
    <n v="1.0923995299869657E+19"/>
  </r>
  <r>
    <b v="0"/>
    <x v="0"/>
    <x v="0"/>
    <x v="0"/>
    <x v="4"/>
    <x v="1"/>
    <x v="0"/>
    <x v="80"/>
    <x v="0"/>
    <x v="0"/>
    <x v="0"/>
    <b v="1"/>
    <m/>
    <s v="Southampton"/>
    <s v="no"/>
    <b v="1"/>
    <n v="538"/>
    <n v="1"/>
    <n v="4.4616225323742157E+17"/>
  </r>
  <r>
    <b v="0"/>
    <x v="1"/>
    <x v="1"/>
    <x v="1"/>
    <x v="0"/>
    <x v="1"/>
    <x v="2"/>
    <x v="201"/>
    <x v="1"/>
    <x v="1"/>
    <x v="1"/>
    <b v="0"/>
    <s v="B"/>
    <s v="Cherbourg"/>
    <s v="yes"/>
    <b v="0"/>
    <n v="539"/>
    <n v="0"/>
    <n v="1.4295038524602829E+19"/>
  </r>
  <r>
    <b v="0"/>
    <x v="1"/>
    <x v="1"/>
    <x v="1"/>
    <x v="62"/>
    <x v="1"/>
    <x v="2"/>
    <x v="202"/>
    <x v="0"/>
    <x v="1"/>
    <x v="1"/>
    <b v="0"/>
    <s v="B"/>
    <s v="Southampton"/>
    <s v="yes"/>
    <b v="0"/>
    <n v="540"/>
    <n v="0"/>
    <n v="2.3097106271813059E+18"/>
  </r>
  <r>
    <b v="0"/>
    <x v="0"/>
    <x v="0"/>
    <x v="1"/>
    <x v="52"/>
    <x v="3"/>
    <x v="2"/>
    <x v="12"/>
    <x v="0"/>
    <x v="0"/>
    <x v="2"/>
    <b v="0"/>
    <m/>
    <s v="Southampton"/>
    <s v="no"/>
    <b v="0"/>
    <n v="541"/>
    <n v="1"/>
    <n v="1.3591758811464045E+19"/>
  </r>
  <r>
    <b v="0"/>
    <x v="0"/>
    <x v="0"/>
    <x v="1"/>
    <x v="32"/>
    <x v="3"/>
    <x v="2"/>
    <x v="12"/>
    <x v="0"/>
    <x v="0"/>
    <x v="2"/>
    <b v="0"/>
    <m/>
    <s v="Southampton"/>
    <s v="no"/>
    <b v="0"/>
    <n v="542"/>
    <n v="1"/>
    <n v="1.0008792142206054E+19"/>
  </r>
  <r>
    <b v="0"/>
    <x v="1"/>
    <x v="2"/>
    <x v="0"/>
    <x v="35"/>
    <x v="0"/>
    <x v="0"/>
    <x v="19"/>
    <x v="0"/>
    <x v="2"/>
    <x v="0"/>
    <b v="1"/>
    <m/>
    <s v="Southampton"/>
    <s v="yes"/>
    <b v="0"/>
    <n v="543"/>
    <n v="1"/>
    <n v="2.136078736064094E+18"/>
  </r>
  <r>
    <b v="0"/>
    <x v="0"/>
    <x v="1"/>
    <x v="0"/>
    <x v="61"/>
    <x v="0"/>
    <x v="0"/>
    <x v="200"/>
    <x v="1"/>
    <x v="1"/>
    <x v="0"/>
    <b v="1"/>
    <s v="C"/>
    <s v="Cherbourg"/>
    <s v="no"/>
    <b v="0"/>
    <n v="544"/>
    <n v="0"/>
    <n v="1.793731885177866E+19"/>
  </r>
  <r>
    <b v="0"/>
    <x v="0"/>
    <x v="1"/>
    <x v="0"/>
    <x v="74"/>
    <x v="1"/>
    <x v="0"/>
    <x v="19"/>
    <x v="0"/>
    <x v="1"/>
    <x v="0"/>
    <b v="1"/>
    <m/>
    <s v="Southampton"/>
    <s v="no"/>
    <b v="1"/>
    <n v="545"/>
    <n v="1"/>
    <n v="1.1063502918012477E+19"/>
  </r>
  <r>
    <b v="0"/>
    <x v="1"/>
    <x v="2"/>
    <x v="1"/>
    <x v="19"/>
    <x v="0"/>
    <x v="0"/>
    <x v="19"/>
    <x v="0"/>
    <x v="2"/>
    <x v="1"/>
    <b v="0"/>
    <m/>
    <s v="Southampton"/>
    <s v="yes"/>
    <b v="0"/>
    <n v="546"/>
    <n v="1"/>
    <n v="3.6354420337101153E+18"/>
  </r>
  <r>
    <b v="0"/>
    <x v="1"/>
    <x v="2"/>
    <x v="0"/>
    <x v="4"/>
    <x v="1"/>
    <x v="0"/>
    <x v="203"/>
    <x v="1"/>
    <x v="2"/>
    <x v="0"/>
    <b v="1"/>
    <m/>
    <s v="Cherbourg"/>
    <s v="yes"/>
    <b v="1"/>
    <n v="547"/>
    <n v="1"/>
    <n v="1.5658467378650466E+19"/>
  </r>
  <r>
    <b v="0"/>
    <x v="0"/>
    <x v="0"/>
    <x v="0"/>
    <x v="40"/>
    <x v="0"/>
    <x v="1"/>
    <x v="97"/>
    <x v="0"/>
    <x v="0"/>
    <x v="0"/>
    <b v="1"/>
    <m/>
    <s v="Southampton"/>
    <s v="no"/>
    <b v="0"/>
    <n v="548"/>
    <n v="1"/>
    <n v="1.9702005163640689E+18"/>
  </r>
  <r>
    <b v="0"/>
    <x v="1"/>
    <x v="2"/>
    <x v="0"/>
    <x v="18"/>
    <x v="0"/>
    <x v="1"/>
    <x v="87"/>
    <x v="0"/>
    <x v="2"/>
    <x v="2"/>
    <b v="0"/>
    <m/>
    <s v="Southampton"/>
    <s v="yes"/>
    <b v="0"/>
    <n v="549"/>
    <n v="1"/>
    <n v="6.4027287052986102E+18"/>
  </r>
  <r>
    <b v="0"/>
    <x v="1"/>
    <x v="1"/>
    <x v="0"/>
    <x v="34"/>
    <x v="1"/>
    <x v="2"/>
    <x v="143"/>
    <x v="1"/>
    <x v="1"/>
    <x v="0"/>
    <b v="1"/>
    <s v="C"/>
    <s v="Cherbourg"/>
    <s v="yes"/>
    <b v="0"/>
    <n v="550"/>
    <n v="0"/>
    <n v="4.7783707279515535E+18"/>
  </r>
  <r>
    <b v="0"/>
    <x v="0"/>
    <x v="2"/>
    <x v="0"/>
    <x v="7"/>
    <x v="1"/>
    <x v="0"/>
    <x v="19"/>
    <x v="0"/>
    <x v="2"/>
    <x v="0"/>
    <b v="1"/>
    <m/>
    <s v="Southampton"/>
    <s v="no"/>
    <b v="1"/>
    <n v="551"/>
    <n v="1"/>
    <n v="1.3525709499077538E+19"/>
  </r>
  <r>
    <b v="0"/>
    <x v="0"/>
    <x v="0"/>
    <x v="0"/>
    <x v="4"/>
    <x v="1"/>
    <x v="0"/>
    <x v="204"/>
    <x v="2"/>
    <x v="0"/>
    <x v="0"/>
    <b v="1"/>
    <m/>
    <s v="Queenstown"/>
    <s v="no"/>
    <b v="1"/>
    <n v="552"/>
    <n v="1"/>
    <n v="8.5716121009055754E+18"/>
  </r>
  <r>
    <b v="0"/>
    <x v="1"/>
    <x v="0"/>
    <x v="0"/>
    <x v="0"/>
    <x v="1"/>
    <x v="0"/>
    <x v="18"/>
    <x v="1"/>
    <x v="0"/>
    <x v="0"/>
    <b v="1"/>
    <m/>
    <s v="Cherbourg"/>
    <s v="yes"/>
    <b v="1"/>
    <n v="553"/>
    <n v="1"/>
    <n v="1.1073025885827848E+18"/>
  </r>
  <r>
    <b v="0"/>
    <x v="1"/>
    <x v="0"/>
    <x v="1"/>
    <x v="0"/>
    <x v="1"/>
    <x v="0"/>
    <x v="71"/>
    <x v="0"/>
    <x v="0"/>
    <x v="1"/>
    <b v="0"/>
    <m/>
    <s v="Southampton"/>
    <s v="yes"/>
    <b v="1"/>
    <n v="554"/>
    <n v="1"/>
    <n v="8.4956148697045443E+18"/>
  </r>
  <r>
    <b v="0"/>
    <x v="0"/>
    <x v="1"/>
    <x v="0"/>
    <x v="65"/>
    <x v="1"/>
    <x v="0"/>
    <x v="11"/>
    <x v="0"/>
    <x v="1"/>
    <x v="0"/>
    <b v="1"/>
    <m/>
    <s v="Southampton"/>
    <s v="no"/>
    <b v="1"/>
    <n v="555"/>
    <n v="1"/>
    <n v="4.5477879522001777E+18"/>
  </r>
  <r>
    <b v="0"/>
    <x v="1"/>
    <x v="1"/>
    <x v="1"/>
    <x v="76"/>
    <x v="0"/>
    <x v="0"/>
    <x v="205"/>
    <x v="1"/>
    <x v="1"/>
    <x v="1"/>
    <b v="0"/>
    <s v="A"/>
    <s v="Cherbourg"/>
    <s v="yes"/>
    <b v="0"/>
    <n v="556"/>
    <n v="0"/>
    <n v="1.1102151531484279E+19"/>
  </r>
  <r>
    <b v="0"/>
    <x v="0"/>
    <x v="1"/>
    <x v="0"/>
    <x v="4"/>
    <x v="1"/>
    <x v="0"/>
    <x v="164"/>
    <x v="1"/>
    <x v="1"/>
    <x v="0"/>
    <b v="1"/>
    <m/>
    <s v="Cherbourg"/>
    <s v="no"/>
    <b v="1"/>
    <n v="557"/>
    <n v="1"/>
    <n v="1.7249228770899208E+19"/>
  </r>
  <r>
    <b v="0"/>
    <x v="1"/>
    <x v="1"/>
    <x v="1"/>
    <x v="12"/>
    <x v="0"/>
    <x v="1"/>
    <x v="128"/>
    <x v="0"/>
    <x v="1"/>
    <x v="1"/>
    <b v="0"/>
    <s v="E"/>
    <s v="Southampton"/>
    <s v="yes"/>
    <b v="0"/>
    <n v="558"/>
    <n v="0"/>
    <n v="8.6466654817498061E+18"/>
  </r>
  <r>
    <b v="0"/>
    <x v="1"/>
    <x v="0"/>
    <x v="1"/>
    <x v="62"/>
    <x v="0"/>
    <x v="0"/>
    <x v="206"/>
    <x v="0"/>
    <x v="0"/>
    <x v="1"/>
    <b v="0"/>
    <m/>
    <s v="Southampton"/>
    <s v="yes"/>
    <b v="0"/>
    <n v="559"/>
    <n v="1"/>
    <n v="7.5126546533112678E+18"/>
  </r>
  <r>
    <b v="0"/>
    <x v="0"/>
    <x v="0"/>
    <x v="0"/>
    <x v="4"/>
    <x v="1"/>
    <x v="0"/>
    <x v="28"/>
    <x v="2"/>
    <x v="0"/>
    <x v="0"/>
    <b v="1"/>
    <m/>
    <s v="Queenstown"/>
    <s v="no"/>
    <b v="1"/>
    <n v="560"/>
    <n v="1"/>
    <n v="1.6396889339726162E+19"/>
  </r>
  <r>
    <b v="0"/>
    <x v="0"/>
    <x v="0"/>
    <x v="0"/>
    <x v="20"/>
    <x v="1"/>
    <x v="0"/>
    <x v="25"/>
    <x v="0"/>
    <x v="0"/>
    <x v="0"/>
    <b v="1"/>
    <m/>
    <s v="Southampton"/>
    <s v="no"/>
    <b v="1"/>
    <n v="561"/>
    <n v="1"/>
    <n v="8.6420627612909312E+18"/>
  </r>
  <r>
    <b v="0"/>
    <x v="0"/>
    <x v="2"/>
    <x v="0"/>
    <x v="17"/>
    <x v="1"/>
    <x v="0"/>
    <x v="119"/>
    <x v="0"/>
    <x v="2"/>
    <x v="0"/>
    <b v="1"/>
    <m/>
    <s v="Southampton"/>
    <s v="no"/>
    <b v="1"/>
    <n v="562"/>
    <n v="1"/>
    <n v="6.9580951748251259E+18"/>
  </r>
  <r>
    <b v="0"/>
    <x v="0"/>
    <x v="0"/>
    <x v="0"/>
    <x v="4"/>
    <x v="1"/>
    <x v="0"/>
    <x v="4"/>
    <x v="0"/>
    <x v="0"/>
    <x v="0"/>
    <b v="1"/>
    <m/>
    <s v="Southampton"/>
    <s v="no"/>
    <b v="1"/>
    <n v="563"/>
    <n v="1"/>
    <n v="1.682417014064325E+19"/>
  </r>
  <r>
    <b v="0"/>
    <x v="0"/>
    <x v="0"/>
    <x v="1"/>
    <x v="4"/>
    <x v="1"/>
    <x v="0"/>
    <x v="4"/>
    <x v="0"/>
    <x v="0"/>
    <x v="1"/>
    <b v="0"/>
    <m/>
    <s v="Southampton"/>
    <s v="no"/>
    <b v="1"/>
    <n v="564"/>
    <n v="1"/>
    <n v="1.5653132816382851E+19"/>
  </r>
  <r>
    <b v="0"/>
    <x v="0"/>
    <x v="0"/>
    <x v="0"/>
    <x v="42"/>
    <x v="4"/>
    <x v="0"/>
    <x v="72"/>
    <x v="0"/>
    <x v="0"/>
    <x v="0"/>
    <b v="1"/>
    <m/>
    <s v="Southampton"/>
    <s v="no"/>
    <b v="0"/>
    <n v="565"/>
    <n v="1"/>
    <n v="1.5961026286615001E+19"/>
  </r>
  <r>
    <b v="0"/>
    <x v="0"/>
    <x v="0"/>
    <x v="0"/>
    <x v="19"/>
    <x v="1"/>
    <x v="0"/>
    <x v="25"/>
    <x v="0"/>
    <x v="0"/>
    <x v="0"/>
    <b v="1"/>
    <m/>
    <s v="Southampton"/>
    <s v="no"/>
    <b v="1"/>
    <n v="566"/>
    <n v="1"/>
    <n v="1.6325755128739783E+19"/>
  </r>
  <r>
    <b v="0"/>
    <x v="0"/>
    <x v="0"/>
    <x v="1"/>
    <x v="28"/>
    <x v="1"/>
    <x v="5"/>
    <x v="7"/>
    <x v="0"/>
    <x v="0"/>
    <x v="1"/>
    <b v="0"/>
    <m/>
    <s v="Southampton"/>
    <s v="no"/>
    <b v="0"/>
    <n v="567"/>
    <n v="1"/>
    <n v="6.4043285656858358E+18"/>
  </r>
  <r>
    <b v="0"/>
    <x v="0"/>
    <x v="0"/>
    <x v="0"/>
    <x v="4"/>
    <x v="1"/>
    <x v="0"/>
    <x v="32"/>
    <x v="1"/>
    <x v="0"/>
    <x v="0"/>
    <b v="1"/>
    <m/>
    <s v="Cherbourg"/>
    <s v="no"/>
    <b v="1"/>
    <n v="568"/>
    <n v="1"/>
    <n v="1.4733668058400891E+19"/>
  </r>
  <r>
    <b v="0"/>
    <x v="1"/>
    <x v="0"/>
    <x v="0"/>
    <x v="35"/>
    <x v="1"/>
    <x v="0"/>
    <x v="13"/>
    <x v="0"/>
    <x v="0"/>
    <x v="0"/>
    <b v="1"/>
    <m/>
    <s v="Southampton"/>
    <s v="yes"/>
    <b v="1"/>
    <n v="569"/>
    <n v="1"/>
    <n v="1.1057285149327692E+19"/>
  </r>
  <r>
    <b v="0"/>
    <x v="1"/>
    <x v="2"/>
    <x v="0"/>
    <x v="65"/>
    <x v="1"/>
    <x v="0"/>
    <x v="29"/>
    <x v="0"/>
    <x v="2"/>
    <x v="0"/>
    <b v="1"/>
    <m/>
    <s v="Southampton"/>
    <s v="yes"/>
    <b v="1"/>
    <n v="570"/>
    <n v="1"/>
    <n v="1.3498442190944209E+19"/>
  </r>
  <r>
    <b v="0"/>
    <x v="1"/>
    <x v="1"/>
    <x v="1"/>
    <x v="78"/>
    <x v="4"/>
    <x v="0"/>
    <x v="207"/>
    <x v="0"/>
    <x v="1"/>
    <x v="1"/>
    <b v="0"/>
    <s v="C"/>
    <s v="Southampton"/>
    <s v="yes"/>
    <b v="0"/>
    <n v="571"/>
    <n v="0"/>
    <n v="5.6046189572842476E+18"/>
  </r>
  <r>
    <b v="0"/>
    <x v="1"/>
    <x v="1"/>
    <x v="0"/>
    <x v="62"/>
    <x v="1"/>
    <x v="0"/>
    <x v="208"/>
    <x v="0"/>
    <x v="1"/>
    <x v="0"/>
    <b v="1"/>
    <s v="E"/>
    <s v="Southampton"/>
    <s v="yes"/>
    <b v="1"/>
    <n v="572"/>
    <n v="0"/>
    <n v="1.3956053147013894E+19"/>
  </r>
  <r>
    <b v="0"/>
    <x v="1"/>
    <x v="0"/>
    <x v="1"/>
    <x v="4"/>
    <x v="1"/>
    <x v="0"/>
    <x v="28"/>
    <x v="2"/>
    <x v="0"/>
    <x v="1"/>
    <b v="0"/>
    <m/>
    <s v="Queenstown"/>
    <s v="yes"/>
    <b v="1"/>
    <n v="573"/>
    <n v="1"/>
    <n v="3.9284765063639854E+18"/>
  </r>
  <r>
    <b v="0"/>
    <x v="0"/>
    <x v="0"/>
    <x v="0"/>
    <x v="36"/>
    <x v="1"/>
    <x v="0"/>
    <x v="4"/>
    <x v="0"/>
    <x v="0"/>
    <x v="0"/>
    <b v="1"/>
    <m/>
    <s v="Southampton"/>
    <s v="no"/>
    <b v="1"/>
    <n v="574"/>
    <n v="1"/>
    <n v="1.6390840820292051E+19"/>
  </r>
  <r>
    <b v="0"/>
    <x v="0"/>
    <x v="0"/>
    <x v="0"/>
    <x v="19"/>
    <x v="1"/>
    <x v="0"/>
    <x v="80"/>
    <x v="0"/>
    <x v="0"/>
    <x v="0"/>
    <b v="1"/>
    <m/>
    <s v="Southampton"/>
    <s v="no"/>
    <b v="1"/>
    <n v="575"/>
    <n v="1"/>
    <n v="1.4672459075486913E+19"/>
  </r>
  <r>
    <b v="0"/>
    <x v="1"/>
    <x v="2"/>
    <x v="1"/>
    <x v="15"/>
    <x v="1"/>
    <x v="0"/>
    <x v="16"/>
    <x v="0"/>
    <x v="2"/>
    <x v="1"/>
    <b v="0"/>
    <m/>
    <s v="Southampton"/>
    <s v="yes"/>
    <b v="1"/>
    <n v="576"/>
    <n v="1"/>
    <n v="1.7538650904579043E+19"/>
  </r>
  <r>
    <b v="0"/>
    <x v="1"/>
    <x v="1"/>
    <x v="1"/>
    <x v="12"/>
    <x v="0"/>
    <x v="0"/>
    <x v="175"/>
    <x v="0"/>
    <x v="1"/>
    <x v="1"/>
    <b v="0"/>
    <s v="E"/>
    <s v="Southampton"/>
    <s v="yes"/>
    <b v="0"/>
    <n v="577"/>
    <n v="0"/>
    <n v="2.918415606098346E+18"/>
  </r>
  <r>
    <b v="0"/>
    <x v="0"/>
    <x v="0"/>
    <x v="1"/>
    <x v="4"/>
    <x v="0"/>
    <x v="0"/>
    <x v="74"/>
    <x v="1"/>
    <x v="0"/>
    <x v="1"/>
    <b v="0"/>
    <m/>
    <s v="Cherbourg"/>
    <s v="no"/>
    <b v="0"/>
    <n v="578"/>
    <n v="1"/>
    <n v="1.3073858581803553E+19"/>
  </r>
  <r>
    <b v="0"/>
    <x v="1"/>
    <x v="0"/>
    <x v="0"/>
    <x v="35"/>
    <x v="1"/>
    <x v="0"/>
    <x v="2"/>
    <x v="0"/>
    <x v="0"/>
    <x v="0"/>
    <b v="1"/>
    <m/>
    <s v="Southampton"/>
    <s v="yes"/>
    <b v="1"/>
    <n v="579"/>
    <n v="1"/>
    <n v="1.5688113508282988E+18"/>
  </r>
  <r>
    <b v="0"/>
    <x v="1"/>
    <x v="2"/>
    <x v="1"/>
    <x v="37"/>
    <x v="0"/>
    <x v="1"/>
    <x v="209"/>
    <x v="0"/>
    <x v="2"/>
    <x v="1"/>
    <b v="0"/>
    <m/>
    <s v="Southampton"/>
    <s v="yes"/>
    <b v="0"/>
    <n v="580"/>
    <n v="1"/>
    <n v="3.4186145605384699E+18"/>
  </r>
  <r>
    <b v="0"/>
    <x v="1"/>
    <x v="1"/>
    <x v="1"/>
    <x v="12"/>
    <x v="0"/>
    <x v="1"/>
    <x v="143"/>
    <x v="1"/>
    <x v="1"/>
    <x v="1"/>
    <b v="0"/>
    <s v="C"/>
    <s v="Cherbourg"/>
    <s v="yes"/>
    <b v="0"/>
    <n v="581"/>
    <n v="0"/>
    <n v="1.3722794221075452E+19"/>
  </r>
  <r>
    <b v="0"/>
    <x v="0"/>
    <x v="2"/>
    <x v="0"/>
    <x v="5"/>
    <x v="1"/>
    <x v="0"/>
    <x v="19"/>
    <x v="0"/>
    <x v="2"/>
    <x v="0"/>
    <b v="1"/>
    <m/>
    <s v="Southampton"/>
    <s v="no"/>
    <b v="1"/>
    <n v="582"/>
    <n v="1"/>
    <n v="9.2600994805942989E+18"/>
  </r>
  <r>
    <b v="0"/>
    <x v="0"/>
    <x v="1"/>
    <x v="0"/>
    <x v="62"/>
    <x v="1"/>
    <x v="0"/>
    <x v="210"/>
    <x v="1"/>
    <x v="1"/>
    <x v="0"/>
    <b v="1"/>
    <s v="A"/>
    <s v="Cherbourg"/>
    <s v="no"/>
    <b v="1"/>
    <n v="583"/>
    <n v="0"/>
    <n v="2.9159478272091846E+17"/>
  </r>
  <r>
    <b v="0"/>
    <x v="0"/>
    <x v="0"/>
    <x v="0"/>
    <x v="4"/>
    <x v="1"/>
    <x v="0"/>
    <x v="211"/>
    <x v="1"/>
    <x v="0"/>
    <x v="0"/>
    <b v="1"/>
    <m/>
    <s v="Cherbourg"/>
    <s v="no"/>
    <b v="1"/>
    <n v="584"/>
    <n v="1"/>
    <n v="1.4724860255512173E+19"/>
  </r>
  <r>
    <b v="0"/>
    <x v="1"/>
    <x v="1"/>
    <x v="1"/>
    <x v="24"/>
    <x v="1"/>
    <x v="2"/>
    <x v="128"/>
    <x v="0"/>
    <x v="1"/>
    <x v="1"/>
    <b v="0"/>
    <s v="E"/>
    <s v="Southampton"/>
    <s v="yes"/>
    <b v="0"/>
    <n v="585"/>
    <n v="0"/>
    <n v="7.3341029281094016E+17"/>
  </r>
  <r>
    <b v="0"/>
    <x v="0"/>
    <x v="2"/>
    <x v="0"/>
    <x v="47"/>
    <x v="1"/>
    <x v="0"/>
    <x v="212"/>
    <x v="0"/>
    <x v="2"/>
    <x v="0"/>
    <b v="1"/>
    <m/>
    <s v="Southampton"/>
    <s v="no"/>
    <b v="1"/>
    <n v="586"/>
    <n v="1"/>
    <n v="1.1544451882141487E+19"/>
  </r>
  <r>
    <b v="0"/>
    <x v="1"/>
    <x v="1"/>
    <x v="0"/>
    <x v="72"/>
    <x v="0"/>
    <x v="1"/>
    <x v="84"/>
    <x v="1"/>
    <x v="1"/>
    <x v="0"/>
    <b v="1"/>
    <s v="B"/>
    <s v="Cherbourg"/>
    <s v="yes"/>
    <b v="0"/>
    <n v="587"/>
    <n v="0"/>
    <n v="9.1374785809627505E+18"/>
  </r>
  <r>
    <b v="0"/>
    <x v="0"/>
    <x v="0"/>
    <x v="0"/>
    <x v="0"/>
    <x v="1"/>
    <x v="0"/>
    <x v="4"/>
    <x v="0"/>
    <x v="0"/>
    <x v="0"/>
    <b v="1"/>
    <m/>
    <s v="Southampton"/>
    <s v="no"/>
    <b v="1"/>
    <n v="588"/>
    <n v="1"/>
    <n v="2.1642037468160684E+18"/>
  </r>
  <r>
    <b v="0"/>
    <x v="0"/>
    <x v="0"/>
    <x v="0"/>
    <x v="4"/>
    <x v="1"/>
    <x v="0"/>
    <x v="4"/>
    <x v="0"/>
    <x v="0"/>
    <x v="0"/>
    <b v="1"/>
    <m/>
    <s v="Southampton"/>
    <s v="no"/>
    <b v="1"/>
    <n v="589"/>
    <n v="1"/>
    <n v="1.6279760851709327E+19"/>
  </r>
  <r>
    <b v="0"/>
    <x v="0"/>
    <x v="0"/>
    <x v="0"/>
    <x v="3"/>
    <x v="1"/>
    <x v="0"/>
    <x v="123"/>
    <x v="0"/>
    <x v="0"/>
    <x v="0"/>
    <b v="1"/>
    <m/>
    <s v="Southampton"/>
    <s v="no"/>
    <b v="1"/>
    <n v="590"/>
    <n v="1"/>
    <n v="1.5285122544524508E+18"/>
  </r>
  <r>
    <b v="0"/>
    <x v="1"/>
    <x v="1"/>
    <x v="1"/>
    <x v="67"/>
    <x v="0"/>
    <x v="0"/>
    <x v="190"/>
    <x v="1"/>
    <x v="1"/>
    <x v="1"/>
    <b v="0"/>
    <s v="D"/>
    <s v="Cherbourg"/>
    <s v="yes"/>
    <b v="0"/>
    <n v="591"/>
    <n v="0"/>
    <n v="2.3559633398347054E+18"/>
  </r>
  <r>
    <b v="0"/>
    <x v="0"/>
    <x v="0"/>
    <x v="0"/>
    <x v="47"/>
    <x v="1"/>
    <x v="0"/>
    <x v="0"/>
    <x v="0"/>
    <x v="0"/>
    <x v="0"/>
    <b v="1"/>
    <m/>
    <s v="Southampton"/>
    <s v="no"/>
    <b v="1"/>
    <n v="592"/>
    <n v="1"/>
    <n v="1.7942410586063913E+19"/>
  </r>
  <r>
    <b v="0"/>
    <x v="0"/>
    <x v="0"/>
    <x v="1"/>
    <x v="4"/>
    <x v="1"/>
    <x v="2"/>
    <x v="28"/>
    <x v="2"/>
    <x v="0"/>
    <x v="1"/>
    <b v="0"/>
    <m/>
    <s v="Queenstown"/>
    <s v="no"/>
    <b v="0"/>
    <n v="593"/>
    <n v="1"/>
    <n v="1.5995700991738581E+19"/>
  </r>
  <r>
    <b v="0"/>
    <x v="0"/>
    <x v="2"/>
    <x v="0"/>
    <x v="46"/>
    <x v="0"/>
    <x v="0"/>
    <x v="19"/>
    <x v="0"/>
    <x v="2"/>
    <x v="0"/>
    <b v="1"/>
    <m/>
    <s v="Southampton"/>
    <s v="no"/>
    <b v="0"/>
    <n v="594"/>
    <n v="1"/>
    <n v="2.9700532967419571E+18"/>
  </r>
  <r>
    <b v="0"/>
    <x v="0"/>
    <x v="0"/>
    <x v="0"/>
    <x v="62"/>
    <x v="0"/>
    <x v="1"/>
    <x v="72"/>
    <x v="0"/>
    <x v="0"/>
    <x v="0"/>
    <b v="1"/>
    <m/>
    <s v="Southampton"/>
    <s v="no"/>
    <b v="0"/>
    <n v="595"/>
    <n v="1"/>
    <n v="9.3816261654103839E+18"/>
  </r>
  <r>
    <b v="0"/>
    <x v="1"/>
    <x v="2"/>
    <x v="1"/>
    <x v="4"/>
    <x v="1"/>
    <x v="0"/>
    <x v="213"/>
    <x v="0"/>
    <x v="2"/>
    <x v="1"/>
    <b v="0"/>
    <m/>
    <s v="Southampton"/>
    <s v="yes"/>
    <b v="1"/>
    <n v="596"/>
    <n v="1"/>
    <n v="2.6472341380488684E+18"/>
  </r>
  <r>
    <b v="0"/>
    <x v="0"/>
    <x v="0"/>
    <x v="0"/>
    <x v="27"/>
    <x v="1"/>
    <x v="0"/>
    <x v="104"/>
    <x v="0"/>
    <x v="0"/>
    <x v="0"/>
    <b v="1"/>
    <m/>
    <s v="Southampton"/>
    <s v="no"/>
    <b v="1"/>
    <n v="597"/>
    <n v="1"/>
    <n v="1.3210484355544224E+19"/>
  </r>
  <r>
    <b v="0"/>
    <x v="0"/>
    <x v="0"/>
    <x v="0"/>
    <x v="4"/>
    <x v="1"/>
    <x v="0"/>
    <x v="18"/>
    <x v="1"/>
    <x v="0"/>
    <x v="0"/>
    <b v="1"/>
    <m/>
    <s v="Cherbourg"/>
    <s v="no"/>
    <b v="1"/>
    <n v="598"/>
    <n v="1"/>
    <n v="5.0058965520033823E+18"/>
  </r>
  <r>
    <b v="0"/>
    <x v="1"/>
    <x v="1"/>
    <x v="0"/>
    <x v="27"/>
    <x v="0"/>
    <x v="0"/>
    <x v="146"/>
    <x v="1"/>
    <x v="1"/>
    <x v="0"/>
    <b v="1"/>
    <s v="A"/>
    <s v="Cherbourg"/>
    <s v="yes"/>
    <b v="0"/>
    <n v="599"/>
    <n v="0"/>
    <n v="2.1321723667677553E+18"/>
  </r>
  <r>
    <b v="0"/>
    <x v="1"/>
    <x v="2"/>
    <x v="1"/>
    <x v="42"/>
    <x v="4"/>
    <x v="1"/>
    <x v="115"/>
    <x v="0"/>
    <x v="2"/>
    <x v="1"/>
    <b v="0"/>
    <m/>
    <s v="Southampton"/>
    <s v="yes"/>
    <b v="0"/>
    <n v="600"/>
    <n v="1"/>
    <n v="6.7811529468731302E+17"/>
  </r>
  <r>
    <b v="0"/>
    <x v="0"/>
    <x v="0"/>
    <x v="0"/>
    <x v="4"/>
    <x v="1"/>
    <x v="0"/>
    <x v="25"/>
    <x v="0"/>
    <x v="0"/>
    <x v="0"/>
    <b v="1"/>
    <m/>
    <s v="Southampton"/>
    <s v="no"/>
    <b v="1"/>
    <n v="601"/>
    <n v="1"/>
    <n v="7.820577434663127E+18"/>
  </r>
  <r>
    <b v="0"/>
    <x v="0"/>
    <x v="1"/>
    <x v="0"/>
    <x v="4"/>
    <x v="1"/>
    <x v="0"/>
    <x v="214"/>
    <x v="0"/>
    <x v="1"/>
    <x v="0"/>
    <b v="1"/>
    <m/>
    <s v="Southampton"/>
    <s v="no"/>
    <b v="1"/>
    <n v="602"/>
    <n v="1"/>
    <n v="1.2855946293140441E+19"/>
  </r>
  <r>
    <b v="0"/>
    <x v="0"/>
    <x v="0"/>
    <x v="0"/>
    <x v="57"/>
    <x v="1"/>
    <x v="0"/>
    <x v="4"/>
    <x v="0"/>
    <x v="0"/>
    <x v="0"/>
    <b v="1"/>
    <m/>
    <s v="Southampton"/>
    <s v="no"/>
    <b v="1"/>
    <n v="603"/>
    <n v="1"/>
    <n v="3.4163087333466455E+18"/>
  </r>
  <r>
    <b v="0"/>
    <x v="1"/>
    <x v="1"/>
    <x v="0"/>
    <x v="3"/>
    <x v="1"/>
    <x v="0"/>
    <x v="11"/>
    <x v="1"/>
    <x v="1"/>
    <x v="0"/>
    <b v="1"/>
    <m/>
    <s v="Cherbourg"/>
    <s v="yes"/>
    <b v="1"/>
    <n v="604"/>
    <n v="1"/>
    <n v="6.7655697924772096E+18"/>
  </r>
  <r>
    <b v="0"/>
    <x v="0"/>
    <x v="0"/>
    <x v="0"/>
    <x v="62"/>
    <x v="0"/>
    <x v="0"/>
    <x v="215"/>
    <x v="0"/>
    <x v="0"/>
    <x v="0"/>
    <b v="1"/>
    <m/>
    <s v="Southampton"/>
    <s v="no"/>
    <b v="0"/>
    <n v="605"/>
    <n v="1"/>
    <n v="1.6442721486487892E+18"/>
  </r>
  <r>
    <b v="0"/>
    <x v="0"/>
    <x v="0"/>
    <x v="0"/>
    <x v="39"/>
    <x v="1"/>
    <x v="0"/>
    <x v="25"/>
    <x v="0"/>
    <x v="0"/>
    <x v="0"/>
    <b v="1"/>
    <m/>
    <s v="Southampton"/>
    <s v="no"/>
    <b v="1"/>
    <n v="606"/>
    <n v="1"/>
    <n v="4.8612598223081841E+18"/>
  </r>
  <r>
    <b v="0"/>
    <x v="1"/>
    <x v="1"/>
    <x v="0"/>
    <x v="7"/>
    <x v="1"/>
    <x v="0"/>
    <x v="140"/>
    <x v="0"/>
    <x v="1"/>
    <x v="0"/>
    <b v="1"/>
    <m/>
    <s v="Southampton"/>
    <s v="yes"/>
    <b v="1"/>
    <n v="607"/>
    <n v="1"/>
    <n v="1.616735901131177E+19"/>
  </r>
  <r>
    <b v="0"/>
    <x v="1"/>
    <x v="2"/>
    <x v="1"/>
    <x v="0"/>
    <x v="0"/>
    <x v="2"/>
    <x v="36"/>
    <x v="1"/>
    <x v="2"/>
    <x v="1"/>
    <b v="0"/>
    <m/>
    <s v="Cherbourg"/>
    <s v="yes"/>
    <b v="0"/>
    <n v="608"/>
    <n v="1"/>
    <n v="1.5270785393390563E+19"/>
  </r>
  <r>
    <b v="0"/>
    <x v="1"/>
    <x v="1"/>
    <x v="1"/>
    <x v="20"/>
    <x v="1"/>
    <x v="0"/>
    <x v="129"/>
    <x v="0"/>
    <x v="1"/>
    <x v="1"/>
    <b v="0"/>
    <s v="C"/>
    <s v="Southampton"/>
    <s v="yes"/>
    <b v="1"/>
    <n v="609"/>
    <n v="0"/>
    <n v="8.2569236759710618E+18"/>
  </r>
  <r>
    <b v="0"/>
    <x v="0"/>
    <x v="0"/>
    <x v="1"/>
    <x v="12"/>
    <x v="0"/>
    <x v="3"/>
    <x v="12"/>
    <x v="0"/>
    <x v="0"/>
    <x v="1"/>
    <b v="0"/>
    <m/>
    <s v="Southampton"/>
    <s v="no"/>
    <b v="0"/>
    <n v="610"/>
    <n v="1"/>
    <n v="8.5869083047882967E+18"/>
  </r>
  <r>
    <b v="0"/>
    <x v="0"/>
    <x v="0"/>
    <x v="0"/>
    <x v="4"/>
    <x v="1"/>
    <x v="0"/>
    <x v="79"/>
    <x v="0"/>
    <x v="0"/>
    <x v="0"/>
    <b v="1"/>
    <m/>
    <s v="Southampton"/>
    <s v="no"/>
    <b v="1"/>
    <n v="611"/>
    <n v="1"/>
    <n v="9.8666232132740383E+18"/>
  </r>
  <r>
    <b v="0"/>
    <x v="1"/>
    <x v="0"/>
    <x v="1"/>
    <x v="4"/>
    <x v="0"/>
    <x v="0"/>
    <x v="37"/>
    <x v="2"/>
    <x v="0"/>
    <x v="1"/>
    <b v="0"/>
    <m/>
    <s v="Queenstown"/>
    <s v="yes"/>
    <b v="0"/>
    <n v="612"/>
    <n v="1"/>
    <n v="9.8166988314220052E+18"/>
  </r>
  <r>
    <b v="0"/>
    <x v="0"/>
    <x v="0"/>
    <x v="0"/>
    <x v="4"/>
    <x v="1"/>
    <x v="0"/>
    <x v="28"/>
    <x v="2"/>
    <x v="0"/>
    <x v="0"/>
    <b v="1"/>
    <m/>
    <s v="Queenstown"/>
    <s v="no"/>
    <b v="1"/>
    <n v="613"/>
    <n v="1"/>
    <n v="4.7359950871717151E+18"/>
  </r>
  <r>
    <b v="0"/>
    <x v="0"/>
    <x v="0"/>
    <x v="0"/>
    <x v="3"/>
    <x v="1"/>
    <x v="0"/>
    <x v="4"/>
    <x v="0"/>
    <x v="0"/>
    <x v="0"/>
    <b v="1"/>
    <m/>
    <s v="Southampton"/>
    <s v="no"/>
    <b v="1"/>
    <n v="614"/>
    <n v="1"/>
    <n v="1.0882300423573398E+19"/>
  </r>
  <r>
    <b v="0"/>
    <x v="1"/>
    <x v="2"/>
    <x v="1"/>
    <x v="42"/>
    <x v="0"/>
    <x v="2"/>
    <x v="216"/>
    <x v="0"/>
    <x v="2"/>
    <x v="1"/>
    <b v="0"/>
    <m/>
    <s v="Southampton"/>
    <s v="yes"/>
    <b v="0"/>
    <n v="615"/>
    <n v="1"/>
    <n v="1.2521042418155403E+19"/>
  </r>
  <r>
    <b v="0"/>
    <x v="0"/>
    <x v="0"/>
    <x v="0"/>
    <x v="15"/>
    <x v="0"/>
    <x v="1"/>
    <x v="174"/>
    <x v="0"/>
    <x v="0"/>
    <x v="0"/>
    <b v="1"/>
    <m/>
    <s v="Southampton"/>
    <s v="no"/>
    <b v="0"/>
    <n v="616"/>
    <n v="1"/>
    <n v="1.1270987969137375E+19"/>
  </r>
  <r>
    <b v="0"/>
    <x v="0"/>
    <x v="0"/>
    <x v="1"/>
    <x v="2"/>
    <x v="0"/>
    <x v="0"/>
    <x v="95"/>
    <x v="0"/>
    <x v="0"/>
    <x v="1"/>
    <b v="0"/>
    <m/>
    <s v="Southampton"/>
    <s v="no"/>
    <b v="0"/>
    <n v="617"/>
    <n v="1"/>
    <n v="1.9924562453046349E+18"/>
  </r>
  <r>
    <b v="0"/>
    <x v="1"/>
    <x v="2"/>
    <x v="1"/>
    <x v="9"/>
    <x v="4"/>
    <x v="1"/>
    <x v="106"/>
    <x v="0"/>
    <x v="2"/>
    <x v="2"/>
    <b v="0"/>
    <s v="F"/>
    <s v="Southampton"/>
    <s v="yes"/>
    <b v="0"/>
    <n v="618"/>
    <n v="0"/>
    <n v="8.7089400145788897E+18"/>
  </r>
  <r>
    <b v="0"/>
    <x v="0"/>
    <x v="2"/>
    <x v="0"/>
    <x v="2"/>
    <x v="1"/>
    <x v="0"/>
    <x v="29"/>
    <x v="0"/>
    <x v="2"/>
    <x v="0"/>
    <b v="1"/>
    <m/>
    <s v="Southampton"/>
    <s v="no"/>
    <b v="1"/>
    <n v="619"/>
    <n v="1"/>
    <n v="1.5701876367112348E+19"/>
  </r>
  <r>
    <b v="0"/>
    <x v="0"/>
    <x v="0"/>
    <x v="0"/>
    <x v="7"/>
    <x v="0"/>
    <x v="0"/>
    <x v="53"/>
    <x v="1"/>
    <x v="0"/>
    <x v="0"/>
    <b v="1"/>
    <m/>
    <s v="Cherbourg"/>
    <s v="no"/>
    <b v="0"/>
    <n v="620"/>
    <n v="1"/>
    <n v="1.4352186052817084E+19"/>
  </r>
  <r>
    <b v="0"/>
    <x v="1"/>
    <x v="1"/>
    <x v="0"/>
    <x v="22"/>
    <x v="0"/>
    <x v="0"/>
    <x v="124"/>
    <x v="0"/>
    <x v="1"/>
    <x v="0"/>
    <b v="1"/>
    <s v="D"/>
    <s v="Southampton"/>
    <s v="yes"/>
    <b v="0"/>
    <n v="621"/>
    <n v="0"/>
    <n v="5.8410978239007212E+18"/>
  </r>
  <r>
    <b v="0"/>
    <x v="1"/>
    <x v="0"/>
    <x v="0"/>
    <x v="11"/>
    <x v="0"/>
    <x v="1"/>
    <x v="165"/>
    <x v="1"/>
    <x v="0"/>
    <x v="0"/>
    <b v="1"/>
    <m/>
    <s v="Cherbourg"/>
    <s v="yes"/>
    <b v="0"/>
    <n v="622"/>
    <n v="1"/>
    <n v="1.7808720251866905E+19"/>
  </r>
  <r>
    <b v="0"/>
    <x v="0"/>
    <x v="0"/>
    <x v="0"/>
    <x v="23"/>
    <x v="1"/>
    <x v="0"/>
    <x v="13"/>
    <x v="0"/>
    <x v="0"/>
    <x v="0"/>
    <b v="1"/>
    <m/>
    <s v="Southampton"/>
    <s v="no"/>
    <b v="1"/>
    <n v="623"/>
    <n v="1"/>
    <n v="1.0361661789698933E+19"/>
  </r>
  <r>
    <b v="0"/>
    <x v="0"/>
    <x v="0"/>
    <x v="0"/>
    <x v="23"/>
    <x v="1"/>
    <x v="0"/>
    <x v="95"/>
    <x v="0"/>
    <x v="0"/>
    <x v="0"/>
    <b v="1"/>
    <m/>
    <s v="Southampton"/>
    <s v="no"/>
    <b v="1"/>
    <n v="624"/>
    <n v="1"/>
    <n v="2.3356413344542556E+18"/>
  </r>
  <r>
    <b v="0"/>
    <x v="0"/>
    <x v="1"/>
    <x v="0"/>
    <x v="59"/>
    <x v="1"/>
    <x v="0"/>
    <x v="217"/>
    <x v="0"/>
    <x v="1"/>
    <x v="0"/>
    <b v="1"/>
    <s v="D"/>
    <s v="Southampton"/>
    <s v="no"/>
    <b v="1"/>
    <n v="625"/>
    <n v="0"/>
    <n v="4.4485548878606469E+18"/>
  </r>
  <r>
    <b v="0"/>
    <x v="0"/>
    <x v="2"/>
    <x v="0"/>
    <x v="79"/>
    <x v="1"/>
    <x v="0"/>
    <x v="142"/>
    <x v="2"/>
    <x v="2"/>
    <x v="0"/>
    <b v="1"/>
    <m/>
    <s v="Queenstown"/>
    <s v="no"/>
    <b v="1"/>
    <n v="626"/>
    <n v="1"/>
    <n v="1.4547308321608399E+19"/>
  </r>
  <r>
    <b v="0"/>
    <x v="1"/>
    <x v="1"/>
    <x v="1"/>
    <x v="23"/>
    <x v="1"/>
    <x v="0"/>
    <x v="133"/>
    <x v="0"/>
    <x v="1"/>
    <x v="1"/>
    <b v="0"/>
    <s v="D"/>
    <s v="Southampton"/>
    <s v="yes"/>
    <b v="1"/>
    <n v="627"/>
    <n v="0"/>
    <n v="1.7491515285150847E+19"/>
  </r>
  <r>
    <b v="0"/>
    <x v="0"/>
    <x v="0"/>
    <x v="0"/>
    <x v="2"/>
    <x v="1"/>
    <x v="0"/>
    <x v="25"/>
    <x v="0"/>
    <x v="0"/>
    <x v="0"/>
    <b v="1"/>
    <m/>
    <s v="Southampton"/>
    <s v="no"/>
    <b v="1"/>
    <n v="628"/>
    <n v="1"/>
    <n v="1.3223843292133396E+19"/>
  </r>
  <r>
    <b v="0"/>
    <x v="0"/>
    <x v="0"/>
    <x v="0"/>
    <x v="4"/>
    <x v="1"/>
    <x v="0"/>
    <x v="93"/>
    <x v="2"/>
    <x v="0"/>
    <x v="0"/>
    <b v="1"/>
    <m/>
    <s v="Queenstown"/>
    <s v="no"/>
    <b v="1"/>
    <n v="629"/>
    <n v="1"/>
    <n v="1.3404536286833039E+19"/>
  </r>
  <r>
    <b v="0"/>
    <x v="1"/>
    <x v="1"/>
    <x v="0"/>
    <x v="80"/>
    <x v="1"/>
    <x v="0"/>
    <x v="209"/>
    <x v="0"/>
    <x v="1"/>
    <x v="0"/>
    <b v="1"/>
    <s v="A"/>
    <s v="Southampton"/>
    <s v="yes"/>
    <b v="1"/>
    <n v="630"/>
    <n v="0"/>
    <n v="8.8255587909820754E+18"/>
  </r>
  <r>
    <b v="0"/>
    <x v="0"/>
    <x v="0"/>
    <x v="0"/>
    <x v="54"/>
    <x v="1"/>
    <x v="0"/>
    <x v="218"/>
    <x v="0"/>
    <x v="0"/>
    <x v="0"/>
    <b v="1"/>
    <m/>
    <s v="Southampton"/>
    <s v="no"/>
    <b v="1"/>
    <n v="631"/>
    <n v="1"/>
    <n v="1.8389640173648028E+19"/>
  </r>
  <r>
    <b v="0"/>
    <x v="1"/>
    <x v="1"/>
    <x v="0"/>
    <x v="35"/>
    <x v="1"/>
    <x v="0"/>
    <x v="140"/>
    <x v="1"/>
    <x v="1"/>
    <x v="0"/>
    <b v="1"/>
    <s v="B"/>
    <s v="Cherbourg"/>
    <s v="yes"/>
    <b v="1"/>
    <n v="632"/>
    <n v="0"/>
    <n v="6.4936121035980851E+18"/>
  </r>
  <r>
    <b v="0"/>
    <x v="0"/>
    <x v="1"/>
    <x v="0"/>
    <x v="4"/>
    <x v="1"/>
    <x v="0"/>
    <x v="104"/>
    <x v="0"/>
    <x v="1"/>
    <x v="0"/>
    <b v="1"/>
    <m/>
    <s v="Southampton"/>
    <s v="no"/>
    <b v="1"/>
    <n v="633"/>
    <n v="1"/>
    <n v="1.4036106829708648E+19"/>
  </r>
  <r>
    <b v="0"/>
    <x v="0"/>
    <x v="0"/>
    <x v="1"/>
    <x v="52"/>
    <x v="2"/>
    <x v="2"/>
    <x v="48"/>
    <x v="0"/>
    <x v="0"/>
    <x v="2"/>
    <b v="0"/>
    <m/>
    <s v="Southampton"/>
    <s v="no"/>
    <b v="0"/>
    <n v="634"/>
    <n v="1"/>
    <n v="7.0212974917793413E+18"/>
  </r>
  <r>
    <b v="0"/>
    <x v="1"/>
    <x v="2"/>
    <x v="1"/>
    <x v="17"/>
    <x v="1"/>
    <x v="0"/>
    <x v="16"/>
    <x v="0"/>
    <x v="2"/>
    <x v="1"/>
    <b v="0"/>
    <m/>
    <s v="Southampton"/>
    <s v="yes"/>
    <b v="1"/>
    <n v="635"/>
    <n v="1"/>
    <n v="1.2013300319003832E+19"/>
  </r>
  <r>
    <b v="0"/>
    <x v="0"/>
    <x v="0"/>
    <x v="0"/>
    <x v="35"/>
    <x v="1"/>
    <x v="0"/>
    <x v="2"/>
    <x v="0"/>
    <x v="0"/>
    <x v="0"/>
    <b v="1"/>
    <m/>
    <s v="Southampton"/>
    <s v="no"/>
    <b v="1"/>
    <n v="636"/>
    <n v="1"/>
    <n v="9.1580024577330299E+18"/>
  </r>
  <r>
    <b v="0"/>
    <x v="0"/>
    <x v="2"/>
    <x v="0"/>
    <x v="14"/>
    <x v="0"/>
    <x v="1"/>
    <x v="121"/>
    <x v="0"/>
    <x v="2"/>
    <x v="0"/>
    <b v="1"/>
    <m/>
    <s v="Southampton"/>
    <s v="no"/>
    <b v="0"/>
    <n v="637"/>
    <n v="1"/>
    <n v="1.216292186301558E+19"/>
  </r>
  <r>
    <b v="0"/>
    <x v="0"/>
    <x v="0"/>
    <x v="1"/>
    <x v="66"/>
    <x v="1"/>
    <x v="3"/>
    <x v="40"/>
    <x v="0"/>
    <x v="0"/>
    <x v="1"/>
    <b v="0"/>
    <m/>
    <s v="Southampton"/>
    <s v="no"/>
    <b v="0"/>
    <n v="638"/>
    <n v="1"/>
    <n v="1.3840738860243902E+19"/>
  </r>
  <r>
    <b v="0"/>
    <x v="0"/>
    <x v="0"/>
    <x v="0"/>
    <x v="4"/>
    <x v="0"/>
    <x v="0"/>
    <x v="95"/>
    <x v="0"/>
    <x v="0"/>
    <x v="0"/>
    <b v="1"/>
    <m/>
    <s v="Southampton"/>
    <s v="no"/>
    <b v="0"/>
    <n v="639"/>
    <n v="1"/>
    <n v="1.1342407284407396E+19"/>
  </r>
  <r>
    <b v="0"/>
    <x v="0"/>
    <x v="0"/>
    <x v="0"/>
    <x v="11"/>
    <x v="1"/>
    <x v="0"/>
    <x v="13"/>
    <x v="0"/>
    <x v="0"/>
    <x v="0"/>
    <b v="1"/>
    <m/>
    <s v="Southampton"/>
    <s v="no"/>
    <b v="1"/>
    <n v="640"/>
    <n v="1"/>
    <n v="1.1209426104633485E+19"/>
  </r>
  <r>
    <b v="0"/>
    <x v="1"/>
    <x v="1"/>
    <x v="1"/>
    <x v="42"/>
    <x v="1"/>
    <x v="0"/>
    <x v="160"/>
    <x v="1"/>
    <x v="1"/>
    <x v="1"/>
    <b v="0"/>
    <s v="B"/>
    <s v="Cherbourg"/>
    <s v="yes"/>
    <b v="1"/>
    <n v="641"/>
    <n v="0"/>
    <n v="1.4573692562615282E+19"/>
  </r>
  <r>
    <b v="0"/>
    <x v="0"/>
    <x v="0"/>
    <x v="1"/>
    <x v="6"/>
    <x v="2"/>
    <x v="2"/>
    <x v="48"/>
    <x v="0"/>
    <x v="0"/>
    <x v="2"/>
    <b v="0"/>
    <m/>
    <s v="Southampton"/>
    <s v="no"/>
    <b v="0"/>
    <n v="642"/>
    <n v="1"/>
    <n v="1.680268071974385E+19"/>
  </r>
  <r>
    <b v="0"/>
    <x v="1"/>
    <x v="0"/>
    <x v="0"/>
    <x v="4"/>
    <x v="1"/>
    <x v="0"/>
    <x v="54"/>
    <x v="0"/>
    <x v="0"/>
    <x v="0"/>
    <b v="1"/>
    <m/>
    <s v="Southampton"/>
    <s v="yes"/>
    <b v="1"/>
    <n v="643"/>
    <n v="1"/>
    <n v="9.8427621882604954E+18"/>
  </r>
  <r>
    <b v="0"/>
    <x v="1"/>
    <x v="0"/>
    <x v="1"/>
    <x v="77"/>
    <x v="4"/>
    <x v="1"/>
    <x v="178"/>
    <x v="1"/>
    <x v="0"/>
    <x v="2"/>
    <b v="0"/>
    <m/>
    <s v="Cherbourg"/>
    <s v="yes"/>
    <b v="0"/>
    <n v="644"/>
    <n v="1"/>
    <n v="1.4475133569112095E+19"/>
  </r>
  <r>
    <b v="0"/>
    <x v="1"/>
    <x v="1"/>
    <x v="0"/>
    <x v="76"/>
    <x v="0"/>
    <x v="0"/>
    <x v="42"/>
    <x v="1"/>
    <x v="1"/>
    <x v="0"/>
    <b v="1"/>
    <s v="D"/>
    <s v="Cherbourg"/>
    <s v="yes"/>
    <b v="0"/>
    <n v="645"/>
    <n v="0"/>
    <n v="6.7520479762868234E+18"/>
  </r>
  <r>
    <b v="0"/>
    <x v="0"/>
    <x v="0"/>
    <x v="0"/>
    <x v="19"/>
    <x v="1"/>
    <x v="0"/>
    <x v="25"/>
    <x v="0"/>
    <x v="0"/>
    <x v="0"/>
    <b v="1"/>
    <m/>
    <s v="Southampton"/>
    <s v="no"/>
    <b v="1"/>
    <n v="646"/>
    <n v="1"/>
    <n v="2.4390079036832686E+18"/>
  </r>
  <r>
    <b v="0"/>
    <x v="1"/>
    <x v="1"/>
    <x v="0"/>
    <x v="60"/>
    <x v="1"/>
    <x v="0"/>
    <x v="21"/>
    <x v="1"/>
    <x v="1"/>
    <x v="0"/>
    <b v="1"/>
    <s v="A"/>
    <s v="Cherbourg"/>
    <s v="yes"/>
    <b v="1"/>
    <n v="647"/>
    <n v="0"/>
    <n v="1.8380133980271845E+19"/>
  </r>
  <r>
    <b v="0"/>
    <x v="0"/>
    <x v="0"/>
    <x v="0"/>
    <x v="4"/>
    <x v="1"/>
    <x v="0"/>
    <x v="120"/>
    <x v="0"/>
    <x v="0"/>
    <x v="0"/>
    <b v="1"/>
    <m/>
    <s v="Southampton"/>
    <s v="no"/>
    <b v="1"/>
    <n v="648"/>
    <n v="1"/>
    <n v="9.9240348667797893E+18"/>
  </r>
  <r>
    <b v="0"/>
    <x v="1"/>
    <x v="0"/>
    <x v="1"/>
    <x v="41"/>
    <x v="1"/>
    <x v="0"/>
    <x v="120"/>
    <x v="0"/>
    <x v="0"/>
    <x v="1"/>
    <b v="0"/>
    <m/>
    <s v="Southampton"/>
    <s v="yes"/>
    <b v="1"/>
    <n v="649"/>
    <n v="1"/>
    <n v="7.3614818690226368E+17"/>
  </r>
  <r>
    <b v="0"/>
    <x v="0"/>
    <x v="0"/>
    <x v="0"/>
    <x v="4"/>
    <x v="1"/>
    <x v="0"/>
    <x v="25"/>
    <x v="0"/>
    <x v="0"/>
    <x v="0"/>
    <b v="1"/>
    <m/>
    <s v="Southampton"/>
    <s v="no"/>
    <b v="1"/>
    <n v="650"/>
    <n v="1"/>
    <n v="1.5211767641968796E+19"/>
  </r>
  <r>
    <b v="0"/>
    <x v="1"/>
    <x v="2"/>
    <x v="1"/>
    <x v="24"/>
    <x v="1"/>
    <x v="1"/>
    <x v="68"/>
    <x v="0"/>
    <x v="2"/>
    <x v="1"/>
    <b v="0"/>
    <m/>
    <s v="Southampton"/>
    <s v="yes"/>
    <b v="0"/>
    <n v="651"/>
    <n v="1"/>
    <n v="2.4079318904119982E+18"/>
  </r>
  <r>
    <b v="0"/>
    <x v="0"/>
    <x v="0"/>
    <x v="0"/>
    <x v="23"/>
    <x v="1"/>
    <x v="0"/>
    <x v="219"/>
    <x v="0"/>
    <x v="0"/>
    <x v="0"/>
    <b v="1"/>
    <m/>
    <s v="Southampton"/>
    <s v="no"/>
    <b v="1"/>
    <n v="652"/>
    <n v="1"/>
    <n v="9.5646185130265416E+18"/>
  </r>
  <r>
    <b v="0"/>
    <x v="1"/>
    <x v="0"/>
    <x v="1"/>
    <x v="4"/>
    <x v="1"/>
    <x v="0"/>
    <x v="204"/>
    <x v="2"/>
    <x v="0"/>
    <x v="1"/>
    <b v="0"/>
    <m/>
    <s v="Queenstown"/>
    <s v="yes"/>
    <b v="1"/>
    <n v="653"/>
    <n v="1"/>
    <n v="1.4054595028480313E+19"/>
  </r>
  <r>
    <b v="0"/>
    <x v="0"/>
    <x v="0"/>
    <x v="1"/>
    <x v="24"/>
    <x v="1"/>
    <x v="0"/>
    <x v="85"/>
    <x v="2"/>
    <x v="0"/>
    <x v="1"/>
    <b v="0"/>
    <m/>
    <s v="Queenstown"/>
    <s v="no"/>
    <b v="1"/>
    <n v="654"/>
    <n v="1"/>
    <n v="8.5001505420134195E+18"/>
  </r>
  <r>
    <b v="0"/>
    <x v="0"/>
    <x v="2"/>
    <x v="0"/>
    <x v="42"/>
    <x v="4"/>
    <x v="0"/>
    <x v="52"/>
    <x v="0"/>
    <x v="2"/>
    <x v="0"/>
    <b v="1"/>
    <m/>
    <s v="Southampton"/>
    <s v="no"/>
    <b v="0"/>
    <n v="655"/>
    <n v="1"/>
    <n v="8.6908007867052175E+18"/>
  </r>
  <r>
    <b v="0"/>
    <x v="0"/>
    <x v="0"/>
    <x v="0"/>
    <x v="4"/>
    <x v="1"/>
    <x v="0"/>
    <x v="25"/>
    <x v="0"/>
    <x v="0"/>
    <x v="0"/>
    <b v="1"/>
    <m/>
    <s v="Southampton"/>
    <s v="no"/>
    <b v="1"/>
    <n v="656"/>
    <n v="1"/>
    <n v="2.5548010848277304E+18"/>
  </r>
  <r>
    <b v="0"/>
    <x v="0"/>
    <x v="0"/>
    <x v="1"/>
    <x v="35"/>
    <x v="0"/>
    <x v="1"/>
    <x v="37"/>
    <x v="2"/>
    <x v="0"/>
    <x v="1"/>
    <b v="0"/>
    <m/>
    <s v="Queenstown"/>
    <s v="no"/>
    <b v="0"/>
    <n v="657"/>
    <n v="1"/>
    <n v="2.9204335387941678E+18"/>
  </r>
  <r>
    <b v="0"/>
    <x v="0"/>
    <x v="2"/>
    <x v="0"/>
    <x v="41"/>
    <x v="1"/>
    <x v="0"/>
    <x v="16"/>
    <x v="0"/>
    <x v="2"/>
    <x v="0"/>
    <b v="1"/>
    <m/>
    <s v="Southampton"/>
    <s v="no"/>
    <b v="1"/>
    <n v="658"/>
    <n v="1"/>
    <n v="6.1690037672021094E+18"/>
  </r>
  <r>
    <b v="0"/>
    <x v="0"/>
    <x v="1"/>
    <x v="0"/>
    <x v="10"/>
    <x v="1"/>
    <x v="2"/>
    <x v="114"/>
    <x v="1"/>
    <x v="1"/>
    <x v="0"/>
    <b v="1"/>
    <s v="D"/>
    <s v="Cherbourg"/>
    <s v="no"/>
    <b v="0"/>
    <n v="659"/>
    <n v="0"/>
    <n v="8.6459575184460122E+17"/>
  </r>
  <r>
    <b v="0"/>
    <x v="1"/>
    <x v="1"/>
    <x v="0"/>
    <x v="61"/>
    <x v="4"/>
    <x v="0"/>
    <x v="155"/>
    <x v="0"/>
    <x v="1"/>
    <x v="0"/>
    <b v="1"/>
    <m/>
    <s v="Southampton"/>
    <s v="yes"/>
    <b v="0"/>
    <n v="660"/>
    <n v="1"/>
    <n v="3.1136309995052201E+18"/>
  </r>
  <r>
    <b v="0"/>
    <x v="0"/>
    <x v="0"/>
    <x v="0"/>
    <x v="20"/>
    <x v="1"/>
    <x v="0"/>
    <x v="18"/>
    <x v="1"/>
    <x v="0"/>
    <x v="0"/>
    <b v="1"/>
    <m/>
    <s v="Cherbourg"/>
    <s v="no"/>
    <b v="1"/>
    <n v="661"/>
    <n v="1"/>
    <n v="2.2783016180682819E+18"/>
  </r>
  <r>
    <b v="0"/>
    <x v="0"/>
    <x v="1"/>
    <x v="0"/>
    <x v="47"/>
    <x v="1"/>
    <x v="0"/>
    <x v="220"/>
    <x v="0"/>
    <x v="1"/>
    <x v="0"/>
    <b v="1"/>
    <s v="E"/>
    <s v="Southampton"/>
    <s v="no"/>
    <b v="1"/>
    <n v="662"/>
    <n v="0"/>
    <n v="1.0856650483620137E+19"/>
  </r>
  <r>
    <b v="0"/>
    <x v="0"/>
    <x v="0"/>
    <x v="0"/>
    <x v="62"/>
    <x v="1"/>
    <x v="0"/>
    <x v="196"/>
    <x v="0"/>
    <x v="0"/>
    <x v="0"/>
    <b v="1"/>
    <m/>
    <s v="Southampton"/>
    <s v="no"/>
    <b v="1"/>
    <n v="663"/>
    <n v="1"/>
    <n v="1.6740677462994094E+19"/>
  </r>
  <r>
    <b v="0"/>
    <x v="1"/>
    <x v="0"/>
    <x v="0"/>
    <x v="11"/>
    <x v="0"/>
    <x v="0"/>
    <x v="2"/>
    <x v="0"/>
    <x v="0"/>
    <x v="0"/>
    <b v="1"/>
    <m/>
    <s v="Southampton"/>
    <s v="yes"/>
    <b v="0"/>
    <n v="664"/>
    <n v="1"/>
    <n v="1.4262323864005708E+19"/>
  </r>
  <r>
    <b v="0"/>
    <x v="0"/>
    <x v="2"/>
    <x v="0"/>
    <x v="35"/>
    <x v="4"/>
    <x v="0"/>
    <x v="52"/>
    <x v="0"/>
    <x v="2"/>
    <x v="0"/>
    <b v="1"/>
    <m/>
    <s v="Southampton"/>
    <s v="no"/>
    <b v="0"/>
    <n v="665"/>
    <n v="1"/>
    <n v="6.500030040238551E+17"/>
  </r>
  <r>
    <b v="0"/>
    <x v="0"/>
    <x v="2"/>
    <x v="0"/>
    <x v="37"/>
    <x v="1"/>
    <x v="0"/>
    <x v="16"/>
    <x v="0"/>
    <x v="2"/>
    <x v="0"/>
    <b v="1"/>
    <m/>
    <s v="Southampton"/>
    <s v="no"/>
    <b v="1"/>
    <n v="666"/>
    <n v="1"/>
    <n v="1.7718630494133674E+19"/>
  </r>
  <r>
    <b v="0"/>
    <x v="0"/>
    <x v="0"/>
    <x v="0"/>
    <x v="4"/>
    <x v="1"/>
    <x v="0"/>
    <x v="71"/>
    <x v="0"/>
    <x v="0"/>
    <x v="0"/>
    <b v="1"/>
    <m/>
    <s v="Southampton"/>
    <s v="no"/>
    <b v="1"/>
    <n v="667"/>
    <n v="1"/>
    <n v="1.2149705172618602E+19"/>
  </r>
  <r>
    <b v="0"/>
    <x v="0"/>
    <x v="0"/>
    <x v="0"/>
    <x v="71"/>
    <x v="1"/>
    <x v="0"/>
    <x v="4"/>
    <x v="0"/>
    <x v="0"/>
    <x v="0"/>
    <b v="1"/>
    <m/>
    <s v="Southampton"/>
    <s v="no"/>
    <b v="1"/>
    <n v="668"/>
    <n v="1"/>
    <n v="8.8596289541364777E+18"/>
  </r>
  <r>
    <b v="0"/>
    <x v="1"/>
    <x v="1"/>
    <x v="1"/>
    <x v="4"/>
    <x v="0"/>
    <x v="0"/>
    <x v="31"/>
    <x v="0"/>
    <x v="1"/>
    <x v="1"/>
    <b v="0"/>
    <s v="C"/>
    <s v="Southampton"/>
    <s v="yes"/>
    <b v="0"/>
    <n v="669"/>
    <n v="1"/>
    <n v="3.191906305754539E+18"/>
  </r>
  <r>
    <b v="0"/>
    <x v="1"/>
    <x v="2"/>
    <x v="1"/>
    <x v="20"/>
    <x v="0"/>
    <x v="1"/>
    <x v="106"/>
    <x v="0"/>
    <x v="2"/>
    <x v="1"/>
    <b v="0"/>
    <m/>
    <s v="Southampton"/>
    <s v="yes"/>
    <b v="0"/>
    <n v="670"/>
    <n v="1"/>
    <n v="4.0012422045358042E+17"/>
  </r>
  <r>
    <b v="0"/>
    <x v="0"/>
    <x v="1"/>
    <x v="0"/>
    <x v="14"/>
    <x v="0"/>
    <x v="0"/>
    <x v="31"/>
    <x v="0"/>
    <x v="1"/>
    <x v="0"/>
    <b v="1"/>
    <s v="B"/>
    <s v="Southampton"/>
    <s v="no"/>
    <b v="0"/>
    <n v="671"/>
    <n v="0"/>
    <n v="1.2649629200162843E+19"/>
  </r>
  <r>
    <b v="0"/>
    <x v="0"/>
    <x v="2"/>
    <x v="0"/>
    <x v="81"/>
    <x v="1"/>
    <x v="0"/>
    <x v="29"/>
    <x v="0"/>
    <x v="2"/>
    <x v="0"/>
    <b v="1"/>
    <m/>
    <s v="Southampton"/>
    <s v="no"/>
    <b v="1"/>
    <n v="672"/>
    <n v="1"/>
    <n v="1.2516997184574587E+19"/>
  </r>
  <r>
    <b v="0"/>
    <x v="1"/>
    <x v="2"/>
    <x v="0"/>
    <x v="14"/>
    <x v="1"/>
    <x v="0"/>
    <x v="16"/>
    <x v="0"/>
    <x v="2"/>
    <x v="0"/>
    <b v="1"/>
    <m/>
    <s v="Southampton"/>
    <s v="yes"/>
    <b v="1"/>
    <n v="673"/>
    <n v="1"/>
    <n v="3.8081632004508375E+18"/>
  </r>
  <r>
    <b v="0"/>
    <x v="0"/>
    <x v="2"/>
    <x v="0"/>
    <x v="4"/>
    <x v="1"/>
    <x v="0"/>
    <x v="104"/>
    <x v="0"/>
    <x v="2"/>
    <x v="0"/>
    <b v="1"/>
    <m/>
    <s v="Southampton"/>
    <s v="no"/>
    <b v="1"/>
    <n v="674"/>
    <n v="1"/>
    <n v="1.5805855842350662E+19"/>
  </r>
  <r>
    <b v="0"/>
    <x v="0"/>
    <x v="0"/>
    <x v="0"/>
    <x v="24"/>
    <x v="1"/>
    <x v="0"/>
    <x v="71"/>
    <x v="0"/>
    <x v="0"/>
    <x v="0"/>
    <b v="1"/>
    <m/>
    <s v="Southampton"/>
    <s v="no"/>
    <b v="1"/>
    <n v="675"/>
    <n v="1"/>
    <n v="3.6476103235493458E+18"/>
  </r>
  <r>
    <b v="0"/>
    <x v="0"/>
    <x v="0"/>
    <x v="0"/>
    <x v="82"/>
    <x v="1"/>
    <x v="0"/>
    <x v="4"/>
    <x v="0"/>
    <x v="0"/>
    <x v="0"/>
    <b v="1"/>
    <m/>
    <s v="Southampton"/>
    <s v="no"/>
    <b v="1"/>
    <n v="676"/>
    <n v="1"/>
    <n v="9.3463193664988631E+18"/>
  </r>
  <r>
    <b v="0"/>
    <x v="1"/>
    <x v="0"/>
    <x v="1"/>
    <x v="24"/>
    <x v="1"/>
    <x v="0"/>
    <x v="221"/>
    <x v="0"/>
    <x v="0"/>
    <x v="1"/>
    <b v="0"/>
    <m/>
    <s v="Southampton"/>
    <s v="yes"/>
    <b v="1"/>
    <n v="677"/>
    <n v="1"/>
    <n v="1.4244428356620157E+19"/>
  </r>
  <r>
    <b v="0"/>
    <x v="0"/>
    <x v="0"/>
    <x v="1"/>
    <x v="71"/>
    <x v="0"/>
    <x v="6"/>
    <x v="45"/>
    <x v="0"/>
    <x v="0"/>
    <x v="1"/>
    <b v="0"/>
    <m/>
    <s v="Southampton"/>
    <s v="no"/>
    <b v="0"/>
    <n v="678"/>
    <n v="1"/>
    <n v="1.0669980734410045E+19"/>
  </r>
  <r>
    <b v="0"/>
    <x v="1"/>
    <x v="1"/>
    <x v="0"/>
    <x v="62"/>
    <x v="1"/>
    <x v="1"/>
    <x v="127"/>
    <x v="1"/>
    <x v="1"/>
    <x v="0"/>
    <b v="1"/>
    <s v="B"/>
    <s v="Cherbourg"/>
    <s v="yes"/>
    <b v="0"/>
    <n v="679"/>
    <n v="0"/>
    <n v="1.0879087923914263E+19"/>
  </r>
  <r>
    <b v="0"/>
    <x v="0"/>
    <x v="0"/>
    <x v="1"/>
    <x v="4"/>
    <x v="1"/>
    <x v="0"/>
    <x v="222"/>
    <x v="2"/>
    <x v="0"/>
    <x v="1"/>
    <b v="0"/>
    <m/>
    <s v="Queenstown"/>
    <s v="no"/>
    <b v="1"/>
    <n v="680"/>
    <n v="1"/>
    <n v="5.1337975453751112E+18"/>
  </r>
  <r>
    <b v="0"/>
    <x v="1"/>
    <x v="1"/>
    <x v="0"/>
    <x v="7"/>
    <x v="1"/>
    <x v="0"/>
    <x v="42"/>
    <x v="1"/>
    <x v="1"/>
    <x v="0"/>
    <b v="1"/>
    <s v="D"/>
    <s v="Cherbourg"/>
    <s v="yes"/>
    <b v="1"/>
    <n v="681"/>
    <n v="0"/>
    <n v="8.1797990244697754E+18"/>
  </r>
  <r>
    <b v="0"/>
    <x v="0"/>
    <x v="0"/>
    <x v="0"/>
    <x v="11"/>
    <x v="1"/>
    <x v="0"/>
    <x v="157"/>
    <x v="0"/>
    <x v="0"/>
    <x v="0"/>
    <b v="1"/>
    <m/>
    <s v="Southampton"/>
    <s v="no"/>
    <b v="1"/>
    <n v="682"/>
    <n v="1"/>
    <n v="1.7221463013890871E+19"/>
  </r>
  <r>
    <b v="0"/>
    <x v="0"/>
    <x v="0"/>
    <x v="0"/>
    <x v="8"/>
    <x v="5"/>
    <x v="2"/>
    <x v="45"/>
    <x v="0"/>
    <x v="0"/>
    <x v="2"/>
    <b v="0"/>
    <m/>
    <s v="Southampton"/>
    <s v="no"/>
    <b v="0"/>
    <n v="683"/>
    <n v="1"/>
    <n v="9.2561697383300608E+18"/>
  </r>
  <r>
    <b v="0"/>
    <x v="0"/>
    <x v="2"/>
    <x v="0"/>
    <x v="72"/>
    <x v="0"/>
    <x v="1"/>
    <x v="106"/>
    <x v="0"/>
    <x v="2"/>
    <x v="0"/>
    <b v="1"/>
    <m/>
    <s v="Southampton"/>
    <s v="no"/>
    <b v="0"/>
    <n v="684"/>
    <n v="1"/>
    <n v="2.7568136138501755E+18"/>
  </r>
  <r>
    <b v="0"/>
    <x v="0"/>
    <x v="2"/>
    <x v="0"/>
    <x v="37"/>
    <x v="0"/>
    <x v="2"/>
    <x v="36"/>
    <x v="1"/>
    <x v="2"/>
    <x v="0"/>
    <b v="1"/>
    <m/>
    <s v="Cherbourg"/>
    <s v="no"/>
    <b v="0"/>
    <n v="685"/>
    <n v="1"/>
    <n v="5.2567754255072696E+18"/>
  </r>
  <r>
    <b v="0"/>
    <x v="0"/>
    <x v="0"/>
    <x v="0"/>
    <x v="8"/>
    <x v="3"/>
    <x v="1"/>
    <x v="40"/>
    <x v="0"/>
    <x v="0"/>
    <x v="2"/>
    <b v="0"/>
    <m/>
    <s v="Southampton"/>
    <s v="no"/>
    <b v="0"/>
    <n v="686"/>
    <n v="1"/>
    <n v="2.5548339230121697E+18"/>
  </r>
  <r>
    <b v="0"/>
    <x v="0"/>
    <x v="0"/>
    <x v="0"/>
    <x v="19"/>
    <x v="1"/>
    <x v="0"/>
    <x v="223"/>
    <x v="0"/>
    <x v="0"/>
    <x v="0"/>
    <b v="1"/>
    <m/>
    <s v="Southampton"/>
    <s v="no"/>
    <b v="1"/>
    <n v="687"/>
    <n v="1"/>
    <n v="1.5936750577713775E+19"/>
  </r>
  <r>
    <b v="0"/>
    <x v="0"/>
    <x v="0"/>
    <x v="0"/>
    <x v="24"/>
    <x v="1"/>
    <x v="0"/>
    <x v="88"/>
    <x v="0"/>
    <x v="0"/>
    <x v="0"/>
    <b v="1"/>
    <m/>
    <s v="Southampton"/>
    <s v="no"/>
    <b v="1"/>
    <n v="688"/>
    <n v="1"/>
    <n v="1.5734882643936453E+18"/>
  </r>
  <r>
    <b v="0"/>
    <x v="1"/>
    <x v="1"/>
    <x v="1"/>
    <x v="16"/>
    <x v="1"/>
    <x v="1"/>
    <x v="224"/>
    <x v="0"/>
    <x v="1"/>
    <x v="2"/>
    <b v="0"/>
    <s v="B"/>
    <s v="Southampton"/>
    <s v="yes"/>
    <b v="0"/>
    <n v="689"/>
    <n v="0"/>
    <n v="5.088201114568992E+17"/>
  </r>
  <r>
    <b v="0"/>
    <x v="1"/>
    <x v="1"/>
    <x v="0"/>
    <x v="14"/>
    <x v="0"/>
    <x v="0"/>
    <x v="225"/>
    <x v="0"/>
    <x v="1"/>
    <x v="0"/>
    <b v="1"/>
    <s v="B"/>
    <s v="Southampton"/>
    <s v="yes"/>
    <b v="0"/>
    <n v="690"/>
    <n v="0"/>
    <n v="1.6439723065788588E+19"/>
  </r>
  <r>
    <b v="0"/>
    <x v="1"/>
    <x v="0"/>
    <x v="1"/>
    <x v="9"/>
    <x v="1"/>
    <x v="1"/>
    <x v="226"/>
    <x v="1"/>
    <x v="0"/>
    <x v="2"/>
    <b v="0"/>
    <m/>
    <s v="Cherbourg"/>
    <s v="yes"/>
    <b v="0"/>
    <n v="691"/>
    <n v="1"/>
    <n v="1.5371330643046392E+19"/>
  </r>
  <r>
    <b v="0"/>
    <x v="1"/>
    <x v="0"/>
    <x v="0"/>
    <x v="4"/>
    <x v="1"/>
    <x v="0"/>
    <x v="54"/>
    <x v="0"/>
    <x v="0"/>
    <x v="0"/>
    <b v="1"/>
    <m/>
    <s v="Southampton"/>
    <s v="yes"/>
    <b v="1"/>
    <n v="692"/>
    <n v="1"/>
    <n v="2.9681791206929935E+18"/>
  </r>
  <r>
    <b v="0"/>
    <x v="0"/>
    <x v="0"/>
    <x v="0"/>
    <x v="37"/>
    <x v="1"/>
    <x v="0"/>
    <x v="18"/>
    <x v="1"/>
    <x v="0"/>
    <x v="0"/>
    <b v="1"/>
    <m/>
    <s v="Cherbourg"/>
    <s v="no"/>
    <b v="1"/>
    <n v="693"/>
    <n v="1"/>
    <n v="7.705011345126274E+18"/>
  </r>
  <r>
    <b v="0"/>
    <x v="0"/>
    <x v="1"/>
    <x v="0"/>
    <x v="72"/>
    <x v="1"/>
    <x v="0"/>
    <x v="11"/>
    <x v="0"/>
    <x v="1"/>
    <x v="0"/>
    <b v="1"/>
    <m/>
    <s v="Southampton"/>
    <s v="no"/>
    <b v="1"/>
    <n v="694"/>
    <n v="1"/>
    <n v="9.3229224186987704E+18"/>
  </r>
  <r>
    <b v="0"/>
    <x v="0"/>
    <x v="2"/>
    <x v="0"/>
    <x v="67"/>
    <x v="1"/>
    <x v="0"/>
    <x v="119"/>
    <x v="0"/>
    <x v="2"/>
    <x v="0"/>
    <b v="1"/>
    <m/>
    <s v="Southampton"/>
    <s v="no"/>
    <b v="1"/>
    <n v="695"/>
    <n v="1"/>
    <n v="1.3251518181019834E+19"/>
  </r>
  <r>
    <b v="0"/>
    <x v="0"/>
    <x v="0"/>
    <x v="0"/>
    <x v="57"/>
    <x v="1"/>
    <x v="0"/>
    <x v="4"/>
    <x v="0"/>
    <x v="0"/>
    <x v="0"/>
    <b v="1"/>
    <m/>
    <s v="Southampton"/>
    <s v="no"/>
    <b v="1"/>
    <n v="696"/>
    <n v="1"/>
    <n v="1.1794857793683937E+19"/>
  </r>
  <r>
    <b v="0"/>
    <x v="1"/>
    <x v="0"/>
    <x v="1"/>
    <x v="4"/>
    <x v="1"/>
    <x v="0"/>
    <x v="93"/>
    <x v="2"/>
    <x v="0"/>
    <x v="1"/>
    <b v="0"/>
    <m/>
    <s v="Queenstown"/>
    <s v="yes"/>
    <b v="1"/>
    <n v="697"/>
    <n v="1"/>
    <n v="9.4237802646077215E+18"/>
  </r>
  <r>
    <b v="0"/>
    <x v="0"/>
    <x v="1"/>
    <x v="0"/>
    <x v="27"/>
    <x v="0"/>
    <x v="1"/>
    <x v="143"/>
    <x v="1"/>
    <x v="1"/>
    <x v="0"/>
    <b v="1"/>
    <s v="C"/>
    <s v="Cherbourg"/>
    <s v="no"/>
    <b v="0"/>
    <n v="698"/>
    <n v="0"/>
    <n v="1.3273892128545468E+19"/>
  </r>
  <r>
    <b v="0"/>
    <x v="0"/>
    <x v="0"/>
    <x v="0"/>
    <x v="22"/>
    <x v="1"/>
    <x v="0"/>
    <x v="55"/>
    <x v="0"/>
    <x v="0"/>
    <x v="0"/>
    <b v="1"/>
    <s v="F"/>
    <s v="Southampton"/>
    <s v="no"/>
    <b v="1"/>
    <n v="699"/>
    <n v="0"/>
    <n v="2.1009735698868104E+18"/>
  </r>
  <r>
    <b v="0"/>
    <x v="1"/>
    <x v="1"/>
    <x v="1"/>
    <x v="24"/>
    <x v="0"/>
    <x v="0"/>
    <x v="164"/>
    <x v="1"/>
    <x v="1"/>
    <x v="1"/>
    <b v="0"/>
    <s v="C"/>
    <s v="Cherbourg"/>
    <s v="yes"/>
    <b v="0"/>
    <n v="700"/>
    <n v="0"/>
    <n v="1.4518474347333448E+19"/>
  </r>
  <r>
    <b v="0"/>
    <x v="1"/>
    <x v="1"/>
    <x v="0"/>
    <x v="3"/>
    <x v="1"/>
    <x v="0"/>
    <x v="194"/>
    <x v="0"/>
    <x v="1"/>
    <x v="0"/>
    <b v="1"/>
    <s v="E"/>
    <s v="Southampton"/>
    <s v="yes"/>
    <b v="1"/>
    <n v="701"/>
    <n v="0"/>
    <n v="1.2795327077542089E+19"/>
  </r>
  <r>
    <b v="0"/>
    <x v="0"/>
    <x v="0"/>
    <x v="1"/>
    <x v="24"/>
    <x v="1"/>
    <x v="1"/>
    <x v="53"/>
    <x v="1"/>
    <x v="0"/>
    <x v="1"/>
    <b v="0"/>
    <m/>
    <s v="Cherbourg"/>
    <s v="no"/>
    <b v="0"/>
    <n v="702"/>
    <n v="1"/>
    <n v="1.0668611455711535E+19"/>
  </r>
  <r>
    <b v="0"/>
    <x v="0"/>
    <x v="0"/>
    <x v="0"/>
    <x v="37"/>
    <x v="1"/>
    <x v="0"/>
    <x v="227"/>
    <x v="2"/>
    <x v="0"/>
    <x v="0"/>
    <b v="1"/>
    <m/>
    <s v="Queenstown"/>
    <s v="no"/>
    <b v="1"/>
    <n v="703"/>
    <n v="1"/>
    <n v="9.4103725387564995E+18"/>
  </r>
  <r>
    <b v="0"/>
    <x v="0"/>
    <x v="0"/>
    <x v="0"/>
    <x v="2"/>
    <x v="0"/>
    <x v="0"/>
    <x v="13"/>
    <x v="0"/>
    <x v="0"/>
    <x v="0"/>
    <b v="1"/>
    <m/>
    <s v="Southampton"/>
    <s v="no"/>
    <b v="0"/>
    <n v="704"/>
    <n v="1"/>
    <n v="1.9205773347415918E+18"/>
  </r>
  <r>
    <b v="0"/>
    <x v="0"/>
    <x v="2"/>
    <x v="0"/>
    <x v="12"/>
    <x v="1"/>
    <x v="0"/>
    <x v="19"/>
    <x v="0"/>
    <x v="2"/>
    <x v="0"/>
    <b v="1"/>
    <m/>
    <s v="Southampton"/>
    <s v="no"/>
    <b v="1"/>
    <n v="705"/>
    <n v="1"/>
    <n v="3.8956417631685443E+18"/>
  </r>
  <r>
    <b v="0"/>
    <x v="1"/>
    <x v="2"/>
    <x v="1"/>
    <x v="33"/>
    <x v="1"/>
    <x v="0"/>
    <x v="119"/>
    <x v="0"/>
    <x v="2"/>
    <x v="1"/>
    <b v="0"/>
    <m/>
    <s v="Southampton"/>
    <s v="yes"/>
    <b v="1"/>
    <n v="706"/>
    <n v="1"/>
    <n v="4.1637962922178534E+18"/>
  </r>
  <r>
    <b v="0"/>
    <x v="1"/>
    <x v="1"/>
    <x v="0"/>
    <x v="22"/>
    <x v="1"/>
    <x v="0"/>
    <x v="194"/>
    <x v="0"/>
    <x v="1"/>
    <x v="0"/>
    <b v="1"/>
    <s v="E"/>
    <s v="Southampton"/>
    <s v="yes"/>
    <b v="1"/>
    <n v="707"/>
    <n v="0"/>
    <n v="9.7756493203747697E+18"/>
  </r>
  <r>
    <b v="0"/>
    <x v="1"/>
    <x v="1"/>
    <x v="1"/>
    <x v="0"/>
    <x v="1"/>
    <x v="0"/>
    <x v="139"/>
    <x v="0"/>
    <x v="1"/>
    <x v="1"/>
    <b v="0"/>
    <m/>
    <s v="Southampton"/>
    <s v="yes"/>
    <b v="1"/>
    <n v="708"/>
    <n v="1"/>
    <n v="7.6000829450514145E+18"/>
  </r>
  <r>
    <b v="0"/>
    <x v="1"/>
    <x v="0"/>
    <x v="0"/>
    <x v="4"/>
    <x v="0"/>
    <x v="1"/>
    <x v="49"/>
    <x v="1"/>
    <x v="0"/>
    <x v="0"/>
    <b v="1"/>
    <m/>
    <s v="Cherbourg"/>
    <s v="yes"/>
    <b v="0"/>
    <n v="709"/>
    <n v="1"/>
    <n v="1.923711599288655E+17"/>
  </r>
  <r>
    <b v="0"/>
    <x v="1"/>
    <x v="1"/>
    <x v="1"/>
    <x v="42"/>
    <x v="1"/>
    <x v="0"/>
    <x v="189"/>
    <x v="1"/>
    <x v="1"/>
    <x v="1"/>
    <b v="0"/>
    <s v="C"/>
    <s v="Cherbourg"/>
    <s v="yes"/>
    <b v="1"/>
    <n v="710"/>
    <n v="0"/>
    <n v="9.9916815058480108E+18"/>
  </r>
  <r>
    <b v="0"/>
    <x v="0"/>
    <x v="1"/>
    <x v="0"/>
    <x v="4"/>
    <x v="1"/>
    <x v="0"/>
    <x v="11"/>
    <x v="0"/>
    <x v="1"/>
    <x v="0"/>
    <b v="1"/>
    <s v="C"/>
    <s v="Southampton"/>
    <s v="no"/>
    <b v="1"/>
    <n v="711"/>
    <n v="1"/>
    <n v="9.0675630339184271E+18"/>
  </r>
  <r>
    <b v="0"/>
    <x v="1"/>
    <x v="1"/>
    <x v="0"/>
    <x v="76"/>
    <x v="0"/>
    <x v="0"/>
    <x v="31"/>
    <x v="0"/>
    <x v="1"/>
    <x v="0"/>
    <b v="1"/>
    <s v="C"/>
    <s v="Southampton"/>
    <s v="yes"/>
    <b v="0"/>
    <n v="712"/>
    <n v="0"/>
    <n v="1.4073681614664393E+19"/>
  </r>
  <r>
    <b v="0"/>
    <x v="0"/>
    <x v="0"/>
    <x v="0"/>
    <x v="28"/>
    <x v="1"/>
    <x v="0"/>
    <x v="228"/>
    <x v="0"/>
    <x v="0"/>
    <x v="0"/>
    <b v="1"/>
    <m/>
    <s v="Southampton"/>
    <s v="no"/>
    <b v="1"/>
    <n v="713"/>
    <n v="1"/>
    <n v="1.0753074363101743E+18"/>
  </r>
  <r>
    <b v="0"/>
    <x v="0"/>
    <x v="2"/>
    <x v="0"/>
    <x v="67"/>
    <x v="1"/>
    <x v="0"/>
    <x v="16"/>
    <x v="0"/>
    <x v="2"/>
    <x v="0"/>
    <b v="1"/>
    <m/>
    <s v="Southampton"/>
    <s v="no"/>
    <b v="1"/>
    <n v="714"/>
    <n v="1"/>
    <n v="5.2827790790041805E+18"/>
  </r>
  <r>
    <b v="0"/>
    <x v="0"/>
    <x v="0"/>
    <x v="0"/>
    <x v="19"/>
    <x v="1"/>
    <x v="0"/>
    <x v="55"/>
    <x v="0"/>
    <x v="0"/>
    <x v="0"/>
    <b v="1"/>
    <s v="F"/>
    <s v="Southampton"/>
    <s v="no"/>
    <b v="1"/>
    <n v="715"/>
    <n v="0"/>
    <n v="1.2870050762498857E+19"/>
  </r>
  <r>
    <b v="0"/>
    <x v="1"/>
    <x v="1"/>
    <x v="1"/>
    <x v="1"/>
    <x v="1"/>
    <x v="0"/>
    <x v="164"/>
    <x v="1"/>
    <x v="1"/>
    <x v="1"/>
    <b v="0"/>
    <s v="C"/>
    <s v="Cherbourg"/>
    <s v="yes"/>
    <b v="1"/>
    <n v="716"/>
    <n v="0"/>
    <n v="1.8358045294695119E+19"/>
  </r>
  <r>
    <b v="0"/>
    <x v="1"/>
    <x v="2"/>
    <x v="1"/>
    <x v="7"/>
    <x v="1"/>
    <x v="0"/>
    <x v="29"/>
    <x v="0"/>
    <x v="2"/>
    <x v="1"/>
    <b v="0"/>
    <s v="E"/>
    <s v="Southampton"/>
    <s v="yes"/>
    <b v="1"/>
    <n v="717"/>
    <n v="0"/>
    <n v="1.1657886651599893E+17"/>
  </r>
  <r>
    <b v="0"/>
    <x v="0"/>
    <x v="0"/>
    <x v="0"/>
    <x v="4"/>
    <x v="1"/>
    <x v="0"/>
    <x v="37"/>
    <x v="2"/>
    <x v="0"/>
    <x v="0"/>
    <b v="1"/>
    <m/>
    <s v="Queenstown"/>
    <s v="no"/>
    <b v="1"/>
    <n v="718"/>
    <n v="1"/>
    <n v="9.4402788650099692E+18"/>
  </r>
  <r>
    <b v="0"/>
    <x v="0"/>
    <x v="0"/>
    <x v="0"/>
    <x v="40"/>
    <x v="1"/>
    <x v="0"/>
    <x v="71"/>
    <x v="0"/>
    <x v="0"/>
    <x v="0"/>
    <b v="1"/>
    <m/>
    <s v="Southampton"/>
    <s v="no"/>
    <b v="1"/>
    <n v="719"/>
    <n v="1"/>
    <n v="1.526497892007772E+19"/>
  </r>
  <r>
    <b v="0"/>
    <x v="1"/>
    <x v="2"/>
    <x v="1"/>
    <x v="83"/>
    <x v="1"/>
    <x v="1"/>
    <x v="213"/>
    <x v="0"/>
    <x v="2"/>
    <x v="2"/>
    <b v="0"/>
    <m/>
    <s v="Southampton"/>
    <s v="yes"/>
    <b v="0"/>
    <n v="720"/>
    <n v="1"/>
    <n v="7.5486887975142881E+18"/>
  </r>
  <r>
    <b v="0"/>
    <x v="0"/>
    <x v="0"/>
    <x v="0"/>
    <x v="34"/>
    <x v="0"/>
    <x v="0"/>
    <x v="218"/>
    <x v="0"/>
    <x v="0"/>
    <x v="0"/>
    <b v="1"/>
    <m/>
    <s v="Southampton"/>
    <s v="no"/>
    <b v="0"/>
    <n v="721"/>
    <n v="1"/>
    <n v="1.3366997789903682E+19"/>
  </r>
  <r>
    <b v="0"/>
    <x v="0"/>
    <x v="2"/>
    <x v="0"/>
    <x v="15"/>
    <x v="1"/>
    <x v="0"/>
    <x v="16"/>
    <x v="0"/>
    <x v="2"/>
    <x v="0"/>
    <b v="1"/>
    <m/>
    <s v="Southampton"/>
    <s v="no"/>
    <b v="1"/>
    <n v="722"/>
    <n v="1"/>
    <n v="1.3348202031624092E+19"/>
  </r>
  <r>
    <b v="0"/>
    <x v="0"/>
    <x v="2"/>
    <x v="0"/>
    <x v="61"/>
    <x v="1"/>
    <x v="0"/>
    <x v="16"/>
    <x v="0"/>
    <x v="2"/>
    <x v="0"/>
    <b v="1"/>
    <m/>
    <s v="Southampton"/>
    <s v="no"/>
    <b v="1"/>
    <n v="723"/>
    <n v="1"/>
    <n v="1.7293106397014804E+19"/>
  </r>
  <r>
    <b v="0"/>
    <x v="1"/>
    <x v="1"/>
    <x v="0"/>
    <x v="7"/>
    <x v="0"/>
    <x v="0"/>
    <x v="3"/>
    <x v="0"/>
    <x v="1"/>
    <x v="0"/>
    <b v="1"/>
    <s v="E"/>
    <s v="Southampton"/>
    <s v="yes"/>
    <b v="0"/>
    <n v="724"/>
    <n v="0"/>
    <n v="5.0116494925652859E+18"/>
  </r>
  <r>
    <b v="0"/>
    <x v="0"/>
    <x v="0"/>
    <x v="0"/>
    <x v="11"/>
    <x v="1"/>
    <x v="0"/>
    <x v="51"/>
    <x v="0"/>
    <x v="0"/>
    <x v="0"/>
    <b v="1"/>
    <m/>
    <s v="Southampton"/>
    <s v="no"/>
    <b v="1"/>
    <n v="725"/>
    <n v="1"/>
    <n v="5.6044279929707151E+18"/>
  </r>
  <r>
    <b v="0"/>
    <x v="1"/>
    <x v="2"/>
    <x v="1"/>
    <x v="39"/>
    <x v="2"/>
    <x v="0"/>
    <x v="35"/>
    <x v="0"/>
    <x v="2"/>
    <x v="1"/>
    <b v="0"/>
    <m/>
    <s v="Southampton"/>
    <s v="yes"/>
    <b v="0"/>
    <n v="726"/>
    <n v="1"/>
    <n v="5.4814449516324669E+18"/>
  </r>
  <r>
    <b v="0"/>
    <x v="1"/>
    <x v="0"/>
    <x v="1"/>
    <x v="4"/>
    <x v="1"/>
    <x v="0"/>
    <x v="229"/>
    <x v="2"/>
    <x v="0"/>
    <x v="1"/>
    <b v="0"/>
    <m/>
    <s v="Queenstown"/>
    <s v="yes"/>
    <b v="1"/>
    <n v="727"/>
    <n v="1"/>
    <n v="1.300444250541985E+19"/>
  </r>
  <r>
    <b v="0"/>
    <x v="0"/>
    <x v="2"/>
    <x v="0"/>
    <x v="37"/>
    <x v="0"/>
    <x v="0"/>
    <x v="19"/>
    <x v="0"/>
    <x v="2"/>
    <x v="0"/>
    <b v="1"/>
    <m/>
    <s v="Southampton"/>
    <s v="no"/>
    <b v="0"/>
    <n v="728"/>
    <n v="1"/>
    <n v="1.4588350630627504E+19"/>
  </r>
  <r>
    <b v="0"/>
    <x v="0"/>
    <x v="0"/>
    <x v="1"/>
    <x v="37"/>
    <x v="0"/>
    <x v="0"/>
    <x v="2"/>
    <x v="0"/>
    <x v="0"/>
    <x v="1"/>
    <b v="0"/>
    <m/>
    <s v="Southampton"/>
    <s v="no"/>
    <b v="0"/>
    <n v="729"/>
    <n v="1"/>
    <n v="4.4564981519318963E+17"/>
  </r>
  <r>
    <b v="0"/>
    <x v="1"/>
    <x v="1"/>
    <x v="1"/>
    <x v="28"/>
    <x v="1"/>
    <x v="0"/>
    <x v="224"/>
    <x v="0"/>
    <x v="1"/>
    <x v="1"/>
    <b v="0"/>
    <s v="B"/>
    <s v="Southampton"/>
    <s v="yes"/>
    <b v="1"/>
    <n v="730"/>
    <n v="0"/>
    <n v="4.7614879740398029E+18"/>
  </r>
  <r>
    <b v="0"/>
    <x v="0"/>
    <x v="0"/>
    <x v="0"/>
    <x v="32"/>
    <x v="1"/>
    <x v="0"/>
    <x v="112"/>
    <x v="1"/>
    <x v="0"/>
    <x v="2"/>
    <b v="0"/>
    <m/>
    <s v="Cherbourg"/>
    <s v="no"/>
    <b v="1"/>
    <n v="731"/>
    <n v="1"/>
    <n v="1.460862806749833E+17"/>
  </r>
  <r>
    <b v="0"/>
    <x v="0"/>
    <x v="2"/>
    <x v="0"/>
    <x v="4"/>
    <x v="1"/>
    <x v="0"/>
    <x v="104"/>
    <x v="0"/>
    <x v="2"/>
    <x v="0"/>
    <b v="1"/>
    <m/>
    <s v="Southampton"/>
    <s v="no"/>
    <b v="1"/>
    <n v="732"/>
    <n v="1"/>
    <n v="4.137236993486359E+17"/>
  </r>
  <r>
    <b v="0"/>
    <x v="0"/>
    <x v="2"/>
    <x v="0"/>
    <x v="41"/>
    <x v="1"/>
    <x v="0"/>
    <x v="16"/>
    <x v="0"/>
    <x v="2"/>
    <x v="0"/>
    <b v="1"/>
    <m/>
    <s v="Southampton"/>
    <s v="no"/>
    <b v="1"/>
    <n v="733"/>
    <n v="1"/>
    <n v="8.0585063569104576E+17"/>
  </r>
  <r>
    <b v="0"/>
    <x v="0"/>
    <x v="2"/>
    <x v="0"/>
    <x v="41"/>
    <x v="1"/>
    <x v="0"/>
    <x v="16"/>
    <x v="0"/>
    <x v="2"/>
    <x v="0"/>
    <b v="1"/>
    <m/>
    <s v="Southampton"/>
    <s v="no"/>
    <b v="1"/>
    <n v="734"/>
    <n v="1"/>
    <n v="5.8738035330099425E+18"/>
  </r>
  <r>
    <b v="0"/>
    <x v="0"/>
    <x v="0"/>
    <x v="0"/>
    <x v="30"/>
    <x v="1"/>
    <x v="0"/>
    <x v="95"/>
    <x v="0"/>
    <x v="0"/>
    <x v="0"/>
    <b v="1"/>
    <m/>
    <s v="Southampton"/>
    <s v="no"/>
    <b v="1"/>
    <n v="735"/>
    <n v="1"/>
    <n v="6.0345267218580562E+18"/>
  </r>
  <r>
    <b v="0"/>
    <x v="0"/>
    <x v="0"/>
    <x v="1"/>
    <x v="76"/>
    <x v="0"/>
    <x v="4"/>
    <x v="63"/>
    <x v="0"/>
    <x v="0"/>
    <x v="1"/>
    <b v="0"/>
    <m/>
    <s v="Southampton"/>
    <s v="no"/>
    <b v="0"/>
    <n v="736"/>
    <n v="1"/>
    <n v="5.2258068220124703E+18"/>
  </r>
  <r>
    <b v="0"/>
    <x v="1"/>
    <x v="1"/>
    <x v="0"/>
    <x v="3"/>
    <x v="1"/>
    <x v="0"/>
    <x v="127"/>
    <x v="1"/>
    <x v="1"/>
    <x v="0"/>
    <b v="1"/>
    <s v="B"/>
    <s v="Cherbourg"/>
    <s v="yes"/>
    <b v="1"/>
    <n v="737"/>
    <n v="0"/>
    <n v="6.2279545751589389E+17"/>
  </r>
  <r>
    <b v="0"/>
    <x v="0"/>
    <x v="0"/>
    <x v="0"/>
    <x v="4"/>
    <x v="1"/>
    <x v="0"/>
    <x v="25"/>
    <x v="0"/>
    <x v="0"/>
    <x v="0"/>
    <b v="1"/>
    <m/>
    <s v="Southampton"/>
    <s v="no"/>
    <b v="1"/>
    <n v="738"/>
    <n v="1"/>
    <n v="3.1543407944024412E+18"/>
  </r>
  <r>
    <b v="0"/>
    <x v="0"/>
    <x v="0"/>
    <x v="0"/>
    <x v="4"/>
    <x v="1"/>
    <x v="0"/>
    <x v="25"/>
    <x v="0"/>
    <x v="0"/>
    <x v="0"/>
    <b v="1"/>
    <m/>
    <s v="Southampton"/>
    <s v="no"/>
    <b v="1"/>
    <n v="739"/>
    <n v="1"/>
    <n v="1.6236945924415465E+19"/>
  </r>
  <r>
    <b v="0"/>
    <x v="1"/>
    <x v="1"/>
    <x v="0"/>
    <x v="4"/>
    <x v="1"/>
    <x v="0"/>
    <x v="209"/>
    <x v="0"/>
    <x v="1"/>
    <x v="0"/>
    <b v="1"/>
    <s v="D"/>
    <s v="Southampton"/>
    <s v="yes"/>
    <b v="1"/>
    <n v="740"/>
    <n v="1"/>
    <n v="1.3428251049421736E+19"/>
  </r>
  <r>
    <b v="0"/>
    <x v="0"/>
    <x v="1"/>
    <x v="0"/>
    <x v="62"/>
    <x v="0"/>
    <x v="0"/>
    <x v="135"/>
    <x v="0"/>
    <x v="1"/>
    <x v="0"/>
    <b v="1"/>
    <s v="C"/>
    <s v="Southampton"/>
    <s v="no"/>
    <b v="0"/>
    <n v="741"/>
    <n v="0"/>
    <n v="1.5772025956189463E+19"/>
  </r>
  <r>
    <b v="0"/>
    <x v="1"/>
    <x v="1"/>
    <x v="1"/>
    <x v="23"/>
    <x v="4"/>
    <x v="2"/>
    <x v="148"/>
    <x v="1"/>
    <x v="1"/>
    <x v="1"/>
    <b v="0"/>
    <s v="B"/>
    <s v="Cherbourg"/>
    <s v="yes"/>
    <b v="0"/>
    <n v="742"/>
    <n v="0"/>
    <n v="9.1863993938555597E+18"/>
  </r>
  <r>
    <b v="0"/>
    <x v="0"/>
    <x v="0"/>
    <x v="0"/>
    <x v="42"/>
    <x v="0"/>
    <x v="0"/>
    <x v="95"/>
    <x v="0"/>
    <x v="0"/>
    <x v="0"/>
    <b v="1"/>
    <m/>
    <s v="Southampton"/>
    <s v="no"/>
    <b v="0"/>
    <n v="743"/>
    <n v="1"/>
    <n v="1.6581021942999294E+19"/>
  </r>
  <r>
    <b v="0"/>
    <x v="1"/>
    <x v="0"/>
    <x v="0"/>
    <x v="14"/>
    <x v="1"/>
    <x v="0"/>
    <x v="2"/>
    <x v="0"/>
    <x v="0"/>
    <x v="0"/>
    <b v="1"/>
    <m/>
    <s v="Southampton"/>
    <s v="yes"/>
    <b v="1"/>
    <n v="744"/>
    <n v="1"/>
    <n v="1.7353814276323901E+19"/>
  </r>
  <r>
    <b v="0"/>
    <x v="0"/>
    <x v="1"/>
    <x v="0"/>
    <x v="81"/>
    <x v="0"/>
    <x v="1"/>
    <x v="202"/>
    <x v="0"/>
    <x v="1"/>
    <x v="0"/>
    <b v="1"/>
    <s v="B"/>
    <s v="Southampton"/>
    <s v="no"/>
    <b v="0"/>
    <n v="745"/>
    <n v="0"/>
    <n v="7.4553891706150164E+18"/>
  </r>
  <r>
    <b v="0"/>
    <x v="0"/>
    <x v="0"/>
    <x v="0"/>
    <x v="36"/>
    <x v="0"/>
    <x v="1"/>
    <x v="134"/>
    <x v="0"/>
    <x v="0"/>
    <x v="0"/>
    <b v="1"/>
    <m/>
    <s v="Southampton"/>
    <s v="no"/>
    <b v="0"/>
    <n v="746"/>
    <n v="1"/>
    <n v="3.1102253028037187E+18"/>
  </r>
  <r>
    <b v="0"/>
    <x v="1"/>
    <x v="2"/>
    <x v="1"/>
    <x v="39"/>
    <x v="1"/>
    <x v="0"/>
    <x v="16"/>
    <x v="0"/>
    <x v="2"/>
    <x v="1"/>
    <b v="0"/>
    <m/>
    <s v="Southampton"/>
    <s v="yes"/>
    <b v="1"/>
    <n v="747"/>
    <n v="1"/>
    <n v="1.1762729585507258E+19"/>
  </r>
  <r>
    <b v="0"/>
    <x v="0"/>
    <x v="1"/>
    <x v="0"/>
    <x v="19"/>
    <x v="0"/>
    <x v="0"/>
    <x v="3"/>
    <x v="0"/>
    <x v="1"/>
    <x v="0"/>
    <b v="1"/>
    <s v="D"/>
    <s v="Southampton"/>
    <s v="no"/>
    <b v="0"/>
    <n v="748"/>
    <n v="0"/>
    <n v="1.3358806866505949E+19"/>
  </r>
  <r>
    <b v="0"/>
    <x v="0"/>
    <x v="0"/>
    <x v="0"/>
    <x v="14"/>
    <x v="1"/>
    <x v="0"/>
    <x v="28"/>
    <x v="2"/>
    <x v="0"/>
    <x v="0"/>
    <b v="1"/>
    <m/>
    <s v="Queenstown"/>
    <s v="no"/>
    <b v="1"/>
    <n v="749"/>
    <n v="1"/>
    <n v="7.266729156025385E+18"/>
  </r>
  <r>
    <b v="0"/>
    <x v="1"/>
    <x v="2"/>
    <x v="1"/>
    <x v="9"/>
    <x v="0"/>
    <x v="1"/>
    <x v="68"/>
    <x v="0"/>
    <x v="2"/>
    <x v="2"/>
    <b v="0"/>
    <m/>
    <s v="Southampton"/>
    <s v="yes"/>
    <b v="0"/>
    <n v="750"/>
    <n v="1"/>
    <n v="1.6179818077913061E+19"/>
  </r>
  <r>
    <b v="0"/>
    <x v="1"/>
    <x v="0"/>
    <x v="0"/>
    <x v="83"/>
    <x v="1"/>
    <x v="1"/>
    <x v="57"/>
    <x v="0"/>
    <x v="0"/>
    <x v="2"/>
    <b v="0"/>
    <s v="E"/>
    <s v="Southampton"/>
    <s v="yes"/>
    <b v="0"/>
    <n v="751"/>
    <n v="0"/>
    <n v="1.1315199299823102E+19"/>
  </r>
  <r>
    <b v="0"/>
    <x v="0"/>
    <x v="0"/>
    <x v="0"/>
    <x v="40"/>
    <x v="1"/>
    <x v="0"/>
    <x v="59"/>
    <x v="0"/>
    <x v="0"/>
    <x v="0"/>
    <b v="1"/>
    <m/>
    <s v="Southampton"/>
    <s v="no"/>
    <b v="1"/>
    <n v="752"/>
    <n v="1"/>
    <n v="1.0590968917650725E+18"/>
  </r>
  <r>
    <b v="0"/>
    <x v="0"/>
    <x v="0"/>
    <x v="0"/>
    <x v="41"/>
    <x v="1"/>
    <x v="0"/>
    <x v="25"/>
    <x v="0"/>
    <x v="0"/>
    <x v="0"/>
    <b v="1"/>
    <m/>
    <s v="Southampton"/>
    <s v="no"/>
    <b v="1"/>
    <n v="753"/>
    <n v="1"/>
    <n v="6.1166416223581245E+18"/>
  </r>
  <r>
    <b v="0"/>
    <x v="1"/>
    <x v="2"/>
    <x v="1"/>
    <x v="76"/>
    <x v="0"/>
    <x v="2"/>
    <x v="216"/>
    <x v="0"/>
    <x v="2"/>
    <x v="1"/>
    <b v="0"/>
    <m/>
    <s v="Southampton"/>
    <s v="yes"/>
    <b v="0"/>
    <n v="754"/>
    <n v="1"/>
    <n v="1.6453409195804127E+19"/>
  </r>
  <r>
    <b v="0"/>
    <x v="1"/>
    <x v="2"/>
    <x v="0"/>
    <x v="84"/>
    <x v="0"/>
    <x v="1"/>
    <x v="80"/>
    <x v="0"/>
    <x v="2"/>
    <x v="2"/>
    <b v="0"/>
    <m/>
    <s v="Southampton"/>
    <s v="yes"/>
    <b v="0"/>
    <n v="755"/>
    <n v="1"/>
    <n v="1.7139964593979859E+19"/>
  </r>
  <r>
    <b v="0"/>
    <x v="0"/>
    <x v="0"/>
    <x v="0"/>
    <x v="17"/>
    <x v="1"/>
    <x v="0"/>
    <x v="88"/>
    <x v="0"/>
    <x v="0"/>
    <x v="0"/>
    <b v="1"/>
    <m/>
    <s v="Southampton"/>
    <s v="no"/>
    <b v="1"/>
    <n v="756"/>
    <n v="1"/>
    <n v="3.0458191710589773E+18"/>
  </r>
  <r>
    <b v="0"/>
    <x v="0"/>
    <x v="2"/>
    <x v="0"/>
    <x v="24"/>
    <x v="1"/>
    <x v="0"/>
    <x v="86"/>
    <x v="0"/>
    <x v="2"/>
    <x v="0"/>
    <b v="1"/>
    <m/>
    <s v="Southampton"/>
    <s v="no"/>
    <b v="1"/>
    <n v="757"/>
    <n v="1"/>
    <n v="4.9721315527633408E+18"/>
  </r>
  <r>
    <b v="0"/>
    <x v="0"/>
    <x v="0"/>
    <x v="0"/>
    <x v="15"/>
    <x v="1"/>
    <x v="0"/>
    <x v="4"/>
    <x v="0"/>
    <x v="0"/>
    <x v="0"/>
    <b v="1"/>
    <m/>
    <s v="Southampton"/>
    <s v="no"/>
    <b v="1"/>
    <n v="758"/>
    <n v="1"/>
    <n v="5.8152158935371581E+18"/>
  </r>
  <r>
    <b v="0"/>
    <x v="1"/>
    <x v="1"/>
    <x v="1"/>
    <x v="40"/>
    <x v="1"/>
    <x v="0"/>
    <x v="126"/>
    <x v="0"/>
    <x v="1"/>
    <x v="1"/>
    <b v="0"/>
    <s v="B"/>
    <s v="Southampton"/>
    <s v="yes"/>
    <b v="1"/>
    <n v="759"/>
    <n v="0"/>
    <n v="7.9054468275290132E+18"/>
  </r>
  <r>
    <b v="0"/>
    <x v="0"/>
    <x v="0"/>
    <x v="0"/>
    <x v="4"/>
    <x v="1"/>
    <x v="0"/>
    <x v="80"/>
    <x v="0"/>
    <x v="0"/>
    <x v="0"/>
    <b v="1"/>
    <m/>
    <s v="Southampton"/>
    <s v="no"/>
    <b v="1"/>
    <n v="760"/>
    <n v="1"/>
    <n v="1.4839194323232978E+18"/>
  </r>
  <r>
    <b v="0"/>
    <x v="0"/>
    <x v="0"/>
    <x v="0"/>
    <x v="66"/>
    <x v="1"/>
    <x v="0"/>
    <x v="123"/>
    <x v="0"/>
    <x v="0"/>
    <x v="0"/>
    <b v="1"/>
    <m/>
    <s v="Southampton"/>
    <s v="no"/>
    <b v="1"/>
    <n v="761"/>
    <n v="1"/>
    <n v="7.8260769327077939E+17"/>
  </r>
  <r>
    <b v="0"/>
    <x v="1"/>
    <x v="0"/>
    <x v="0"/>
    <x v="11"/>
    <x v="1"/>
    <x v="0"/>
    <x v="32"/>
    <x v="1"/>
    <x v="0"/>
    <x v="0"/>
    <b v="1"/>
    <m/>
    <s v="Cherbourg"/>
    <s v="yes"/>
    <b v="1"/>
    <n v="762"/>
    <n v="1"/>
    <n v="1.7052568614329549E+19"/>
  </r>
  <r>
    <b v="0"/>
    <x v="1"/>
    <x v="1"/>
    <x v="1"/>
    <x v="62"/>
    <x v="0"/>
    <x v="2"/>
    <x v="168"/>
    <x v="0"/>
    <x v="1"/>
    <x v="1"/>
    <b v="0"/>
    <s v="B"/>
    <s v="Southampton"/>
    <s v="yes"/>
    <b v="0"/>
    <n v="763"/>
    <n v="0"/>
    <n v="1.4898896844109212E+19"/>
  </r>
  <r>
    <b v="0"/>
    <x v="0"/>
    <x v="0"/>
    <x v="0"/>
    <x v="36"/>
    <x v="1"/>
    <x v="0"/>
    <x v="71"/>
    <x v="0"/>
    <x v="0"/>
    <x v="0"/>
    <b v="1"/>
    <m/>
    <s v="Southampton"/>
    <s v="no"/>
    <b v="1"/>
    <n v="764"/>
    <n v="1"/>
    <n v="1.8150927601701773E+19"/>
  </r>
  <r>
    <b v="0"/>
    <x v="1"/>
    <x v="1"/>
    <x v="1"/>
    <x v="54"/>
    <x v="0"/>
    <x v="0"/>
    <x v="133"/>
    <x v="0"/>
    <x v="1"/>
    <x v="1"/>
    <b v="0"/>
    <s v="D"/>
    <s v="Southampton"/>
    <s v="yes"/>
    <b v="0"/>
    <n v="765"/>
    <n v="0"/>
    <n v="5.7941196252191375E+18"/>
  </r>
  <r>
    <b v="0"/>
    <x v="0"/>
    <x v="1"/>
    <x v="0"/>
    <x v="4"/>
    <x v="1"/>
    <x v="0"/>
    <x v="205"/>
    <x v="1"/>
    <x v="1"/>
    <x v="0"/>
    <b v="1"/>
    <m/>
    <s v="Cherbourg"/>
    <s v="no"/>
    <b v="1"/>
    <n v="766"/>
    <n v="1"/>
    <n v="1.3147767058355823E+19"/>
  </r>
  <r>
    <b v="0"/>
    <x v="0"/>
    <x v="0"/>
    <x v="1"/>
    <x v="85"/>
    <x v="1"/>
    <x v="0"/>
    <x v="28"/>
    <x v="2"/>
    <x v="0"/>
    <x v="1"/>
    <b v="0"/>
    <m/>
    <s v="Queenstown"/>
    <s v="no"/>
    <b v="1"/>
    <n v="767"/>
    <n v="1"/>
    <n v="1.6553898492697158E+19"/>
  </r>
  <r>
    <b v="0"/>
    <x v="0"/>
    <x v="0"/>
    <x v="0"/>
    <x v="4"/>
    <x v="0"/>
    <x v="0"/>
    <x v="72"/>
    <x v="2"/>
    <x v="0"/>
    <x v="0"/>
    <b v="1"/>
    <m/>
    <s v="Queenstown"/>
    <s v="no"/>
    <b v="0"/>
    <n v="768"/>
    <n v="1"/>
    <n v="3.113505973789588E+18"/>
  </r>
  <r>
    <b v="0"/>
    <x v="0"/>
    <x v="0"/>
    <x v="0"/>
    <x v="35"/>
    <x v="1"/>
    <x v="0"/>
    <x v="230"/>
    <x v="0"/>
    <x v="0"/>
    <x v="0"/>
    <b v="1"/>
    <m/>
    <s v="Southampton"/>
    <s v="no"/>
    <b v="1"/>
    <n v="769"/>
    <n v="1"/>
    <n v="5.075662656494251E+18"/>
  </r>
  <r>
    <b v="0"/>
    <x v="0"/>
    <x v="0"/>
    <x v="0"/>
    <x v="42"/>
    <x v="1"/>
    <x v="0"/>
    <x v="59"/>
    <x v="0"/>
    <x v="0"/>
    <x v="0"/>
    <b v="1"/>
    <m/>
    <s v="Southampton"/>
    <s v="no"/>
    <b v="1"/>
    <n v="770"/>
    <n v="1"/>
    <n v="1.075161125369753E+19"/>
  </r>
  <r>
    <b v="0"/>
    <x v="0"/>
    <x v="0"/>
    <x v="0"/>
    <x v="76"/>
    <x v="1"/>
    <x v="0"/>
    <x v="13"/>
    <x v="0"/>
    <x v="0"/>
    <x v="0"/>
    <b v="1"/>
    <m/>
    <s v="Southampton"/>
    <s v="no"/>
    <b v="1"/>
    <n v="771"/>
    <n v="1"/>
    <n v="1.0130237482976172E+18"/>
  </r>
  <r>
    <b v="0"/>
    <x v="0"/>
    <x v="2"/>
    <x v="1"/>
    <x v="79"/>
    <x v="1"/>
    <x v="0"/>
    <x v="29"/>
    <x v="0"/>
    <x v="2"/>
    <x v="1"/>
    <b v="0"/>
    <s v="E"/>
    <s v="Southampton"/>
    <s v="no"/>
    <b v="1"/>
    <n v="772"/>
    <n v="0"/>
    <n v="6.5666254605008814E+18"/>
  </r>
  <r>
    <b v="0"/>
    <x v="0"/>
    <x v="0"/>
    <x v="0"/>
    <x v="4"/>
    <x v="1"/>
    <x v="0"/>
    <x v="18"/>
    <x v="1"/>
    <x v="0"/>
    <x v="0"/>
    <b v="1"/>
    <m/>
    <s v="Cherbourg"/>
    <s v="no"/>
    <b v="1"/>
    <n v="773"/>
    <n v="1"/>
    <n v="3.6292305331392056E+18"/>
  </r>
  <r>
    <b v="0"/>
    <x v="1"/>
    <x v="2"/>
    <x v="1"/>
    <x v="5"/>
    <x v="0"/>
    <x v="4"/>
    <x v="68"/>
    <x v="0"/>
    <x v="2"/>
    <x v="1"/>
    <b v="0"/>
    <m/>
    <s v="Southampton"/>
    <s v="yes"/>
    <b v="0"/>
    <n v="774"/>
    <n v="1"/>
    <n v="1.3722940297554575E+19"/>
  </r>
  <r>
    <b v="0"/>
    <x v="0"/>
    <x v="0"/>
    <x v="0"/>
    <x v="24"/>
    <x v="1"/>
    <x v="0"/>
    <x v="28"/>
    <x v="0"/>
    <x v="0"/>
    <x v="0"/>
    <b v="1"/>
    <m/>
    <s v="Southampton"/>
    <s v="no"/>
    <b v="1"/>
    <n v="775"/>
    <n v="1"/>
    <n v="1.2310373204874535E+19"/>
  </r>
  <r>
    <b v="0"/>
    <x v="0"/>
    <x v="0"/>
    <x v="0"/>
    <x v="4"/>
    <x v="1"/>
    <x v="0"/>
    <x v="28"/>
    <x v="2"/>
    <x v="0"/>
    <x v="0"/>
    <b v="1"/>
    <s v="F"/>
    <s v="Queenstown"/>
    <s v="no"/>
    <b v="1"/>
    <n v="776"/>
    <n v="1"/>
    <n v="1.6567895990816238E+18"/>
  </r>
  <r>
    <b v="0"/>
    <x v="1"/>
    <x v="0"/>
    <x v="1"/>
    <x v="31"/>
    <x v="1"/>
    <x v="0"/>
    <x v="57"/>
    <x v="0"/>
    <x v="0"/>
    <x v="2"/>
    <b v="0"/>
    <m/>
    <s v="Southampton"/>
    <s v="yes"/>
    <b v="1"/>
    <n v="777"/>
    <n v="1"/>
    <n v="3.1637378093638057E+18"/>
  </r>
  <r>
    <b v="0"/>
    <x v="0"/>
    <x v="0"/>
    <x v="0"/>
    <x v="4"/>
    <x v="1"/>
    <x v="0"/>
    <x v="229"/>
    <x v="2"/>
    <x v="0"/>
    <x v="0"/>
    <b v="1"/>
    <m/>
    <s v="Queenstown"/>
    <s v="no"/>
    <b v="1"/>
    <n v="778"/>
    <n v="1"/>
    <n v="1.399256298214726E+19"/>
  </r>
  <r>
    <b v="0"/>
    <x v="1"/>
    <x v="1"/>
    <x v="1"/>
    <x v="71"/>
    <x v="1"/>
    <x v="1"/>
    <x v="224"/>
    <x v="0"/>
    <x v="1"/>
    <x v="1"/>
    <b v="0"/>
    <s v="B"/>
    <s v="Southampton"/>
    <s v="yes"/>
    <b v="0"/>
    <n v="779"/>
    <n v="0"/>
    <n v="1.8272889348561857E+19"/>
  </r>
  <r>
    <b v="0"/>
    <x v="1"/>
    <x v="0"/>
    <x v="1"/>
    <x v="75"/>
    <x v="1"/>
    <x v="0"/>
    <x v="32"/>
    <x v="1"/>
    <x v="0"/>
    <x v="2"/>
    <b v="0"/>
    <m/>
    <s v="Cherbourg"/>
    <s v="yes"/>
    <b v="1"/>
    <n v="780"/>
    <n v="1"/>
    <n v="1.5634275604031019E+19"/>
  </r>
  <r>
    <b v="0"/>
    <x v="1"/>
    <x v="1"/>
    <x v="1"/>
    <x v="34"/>
    <x v="0"/>
    <x v="0"/>
    <x v="225"/>
    <x v="0"/>
    <x v="1"/>
    <x v="1"/>
    <b v="0"/>
    <s v="B"/>
    <s v="Southampton"/>
    <s v="yes"/>
    <b v="0"/>
    <n v="781"/>
    <n v="0"/>
    <n v="8.1666208532522281E+18"/>
  </r>
  <r>
    <b v="0"/>
    <x v="0"/>
    <x v="1"/>
    <x v="0"/>
    <x v="28"/>
    <x v="1"/>
    <x v="0"/>
    <x v="209"/>
    <x v="0"/>
    <x v="1"/>
    <x v="0"/>
    <b v="1"/>
    <s v="D"/>
    <s v="Southampton"/>
    <s v="no"/>
    <b v="1"/>
    <n v="782"/>
    <n v="0"/>
    <n v="3.2334537544000968E+18"/>
  </r>
  <r>
    <b v="0"/>
    <x v="0"/>
    <x v="0"/>
    <x v="0"/>
    <x v="4"/>
    <x v="0"/>
    <x v="2"/>
    <x v="231"/>
    <x v="0"/>
    <x v="0"/>
    <x v="0"/>
    <b v="1"/>
    <m/>
    <s v="Southampton"/>
    <s v="no"/>
    <b v="0"/>
    <n v="783"/>
    <n v="1"/>
    <n v="1.5280430726424435E+19"/>
  </r>
  <r>
    <b v="0"/>
    <x v="0"/>
    <x v="0"/>
    <x v="0"/>
    <x v="37"/>
    <x v="1"/>
    <x v="0"/>
    <x v="79"/>
    <x v="0"/>
    <x v="0"/>
    <x v="0"/>
    <b v="1"/>
    <m/>
    <s v="Southampton"/>
    <s v="no"/>
    <b v="1"/>
    <n v="784"/>
    <n v="1"/>
    <n v="1.3778407098916301E+19"/>
  </r>
  <r>
    <b v="0"/>
    <x v="0"/>
    <x v="0"/>
    <x v="0"/>
    <x v="37"/>
    <x v="1"/>
    <x v="0"/>
    <x v="0"/>
    <x v="0"/>
    <x v="0"/>
    <x v="0"/>
    <b v="1"/>
    <m/>
    <s v="Southampton"/>
    <s v="no"/>
    <b v="1"/>
    <n v="785"/>
    <n v="1"/>
    <n v="1.9304400821469343E+18"/>
  </r>
  <r>
    <b v="0"/>
    <x v="1"/>
    <x v="0"/>
    <x v="1"/>
    <x v="24"/>
    <x v="1"/>
    <x v="0"/>
    <x v="196"/>
    <x v="0"/>
    <x v="0"/>
    <x v="1"/>
    <b v="0"/>
    <m/>
    <s v="Southampton"/>
    <s v="yes"/>
    <b v="1"/>
    <n v="786"/>
    <n v="1"/>
    <n v="4.6640779073456169E+18"/>
  </r>
  <r>
    <b v="0"/>
    <x v="0"/>
    <x v="0"/>
    <x v="0"/>
    <x v="18"/>
    <x v="3"/>
    <x v="1"/>
    <x v="15"/>
    <x v="2"/>
    <x v="0"/>
    <x v="2"/>
    <b v="0"/>
    <m/>
    <s v="Queenstown"/>
    <s v="no"/>
    <b v="0"/>
    <n v="787"/>
    <n v="1"/>
    <n v="1.7768279717678772E+19"/>
  </r>
  <r>
    <b v="0"/>
    <x v="1"/>
    <x v="0"/>
    <x v="0"/>
    <x v="58"/>
    <x v="0"/>
    <x v="2"/>
    <x v="65"/>
    <x v="0"/>
    <x v="0"/>
    <x v="2"/>
    <b v="0"/>
    <m/>
    <s v="Southampton"/>
    <s v="yes"/>
    <b v="0"/>
    <n v="788"/>
    <n v="1"/>
    <n v="1.5790830306666998E+18"/>
  </r>
  <r>
    <b v="0"/>
    <x v="0"/>
    <x v="1"/>
    <x v="0"/>
    <x v="43"/>
    <x v="1"/>
    <x v="0"/>
    <x v="84"/>
    <x v="1"/>
    <x v="1"/>
    <x v="0"/>
    <b v="1"/>
    <s v="B"/>
    <s v="Cherbourg"/>
    <s v="no"/>
    <b v="1"/>
    <n v="789"/>
    <n v="0"/>
    <n v="1.0769496144285956E+19"/>
  </r>
  <r>
    <b v="0"/>
    <x v="0"/>
    <x v="0"/>
    <x v="0"/>
    <x v="4"/>
    <x v="1"/>
    <x v="0"/>
    <x v="28"/>
    <x v="2"/>
    <x v="0"/>
    <x v="0"/>
    <b v="1"/>
    <m/>
    <s v="Queenstown"/>
    <s v="no"/>
    <b v="1"/>
    <n v="790"/>
    <n v="1"/>
    <n v="1.3480887242134591E+19"/>
  </r>
  <r>
    <b v="0"/>
    <x v="0"/>
    <x v="2"/>
    <x v="0"/>
    <x v="36"/>
    <x v="1"/>
    <x v="0"/>
    <x v="19"/>
    <x v="0"/>
    <x v="2"/>
    <x v="0"/>
    <b v="1"/>
    <m/>
    <s v="Southampton"/>
    <s v="no"/>
    <b v="1"/>
    <n v="791"/>
    <n v="1"/>
    <n v="1.4872367363582226E+19"/>
  </r>
  <r>
    <b v="0"/>
    <x v="0"/>
    <x v="0"/>
    <x v="1"/>
    <x v="4"/>
    <x v="6"/>
    <x v="2"/>
    <x v="94"/>
    <x v="0"/>
    <x v="0"/>
    <x v="1"/>
    <b v="0"/>
    <m/>
    <s v="Southampton"/>
    <s v="no"/>
    <b v="0"/>
    <n v="792"/>
    <n v="1"/>
    <n v="7.9020279676837908E+18"/>
  </r>
  <r>
    <b v="0"/>
    <x v="0"/>
    <x v="1"/>
    <x v="0"/>
    <x v="4"/>
    <x v="1"/>
    <x v="0"/>
    <x v="101"/>
    <x v="1"/>
    <x v="1"/>
    <x v="0"/>
    <b v="1"/>
    <m/>
    <s v="Cherbourg"/>
    <s v="no"/>
    <b v="1"/>
    <n v="793"/>
    <n v="1"/>
    <n v="8.3848625922673674E+18"/>
  </r>
  <r>
    <b v="0"/>
    <x v="0"/>
    <x v="0"/>
    <x v="0"/>
    <x v="37"/>
    <x v="1"/>
    <x v="0"/>
    <x v="25"/>
    <x v="0"/>
    <x v="0"/>
    <x v="0"/>
    <b v="1"/>
    <m/>
    <s v="Southampton"/>
    <s v="no"/>
    <b v="1"/>
    <n v="794"/>
    <n v="1"/>
    <n v="6.6046287548817562E+18"/>
  </r>
  <r>
    <b v="0"/>
    <x v="0"/>
    <x v="2"/>
    <x v="0"/>
    <x v="12"/>
    <x v="1"/>
    <x v="0"/>
    <x v="16"/>
    <x v="0"/>
    <x v="2"/>
    <x v="0"/>
    <b v="1"/>
    <m/>
    <s v="Southampton"/>
    <s v="no"/>
    <b v="1"/>
    <n v="795"/>
    <n v="1"/>
    <n v="1.1091685434987721E+19"/>
  </r>
  <r>
    <b v="0"/>
    <x v="1"/>
    <x v="1"/>
    <x v="1"/>
    <x v="27"/>
    <x v="1"/>
    <x v="0"/>
    <x v="232"/>
    <x v="0"/>
    <x v="1"/>
    <x v="1"/>
    <b v="0"/>
    <s v="D"/>
    <s v="Southampton"/>
    <s v="yes"/>
    <b v="1"/>
    <n v="796"/>
    <n v="0"/>
    <n v="6.896545776195872E+17"/>
  </r>
  <r>
    <b v="0"/>
    <x v="1"/>
    <x v="0"/>
    <x v="1"/>
    <x v="14"/>
    <x v="1"/>
    <x v="0"/>
    <x v="233"/>
    <x v="0"/>
    <x v="0"/>
    <x v="1"/>
    <b v="0"/>
    <m/>
    <s v="Southampton"/>
    <s v="yes"/>
    <b v="1"/>
    <n v="797"/>
    <n v="1"/>
    <n v="8.4848849804166789E+18"/>
  </r>
  <r>
    <b v="0"/>
    <x v="0"/>
    <x v="0"/>
    <x v="0"/>
    <x v="39"/>
    <x v="1"/>
    <x v="0"/>
    <x v="32"/>
    <x v="1"/>
    <x v="0"/>
    <x v="0"/>
    <b v="1"/>
    <m/>
    <s v="Cherbourg"/>
    <s v="no"/>
    <b v="1"/>
    <n v="798"/>
    <n v="1"/>
    <n v="2.1751064012021251E+18"/>
  </r>
  <r>
    <b v="0"/>
    <x v="0"/>
    <x v="0"/>
    <x v="1"/>
    <x v="39"/>
    <x v="0"/>
    <x v="1"/>
    <x v="72"/>
    <x v="0"/>
    <x v="0"/>
    <x v="1"/>
    <b v="0"/>
    <m/>
    <s v="Southampton"/>
    <s v="no"/>
    <b v="0"/>
    <n v="799"/>
    <n v="1"/>
    <n v="2.2645581577337285E+18"/>
  </r>
  <r>
    <b v="0"/>
    <x v="0"/>
    <x v="2"/>
    <x v="0"/>
    <x v="15"/>
    <x v="1"/>
    <x v="0"/>
    <x v="16"/>
    <x v="0"/>
    <x v="2"/>
    <x v="0"/>
    <b v="1"/>
    <m/>
    <s v="Southampton"/>
    <s v="no"/>
    <b v="1"/>
    <n v="800"/>
    <n v="1"/>
    <n v="2.4911626883260262E+18"/>
  </r>
  <r>
    <b v="0"/>
    <x v="1"/>
    <x v="2"/>
    <x v="1"/>
    <x v="14"/>
    <x v="0"/>
    <x v="1"/>
    <x v="121"/>
    <x v="0"/>
    <x v="2"/>
    <x v="1"/>
    <b v="0"/>
    <m/>
    <s v="Southampton"/>
    <s v="yes"/>
    <b v="0"/>
    <n v="801"/>
    <n v="1"/>
    <n v="8.6854099735893074E+18"/>
  </r>
  <r>
    <b v="0"/>
    <x v="1"/>
    <x v="1"/>
    <x v="0"/>
    <x v="32"/>
    <x v="0"/>
    <x v="2"/>
    <x v="168"/>
    <x v="0"/>
    <x v="1"/>
    <x v="2"/>
    <b v="0"/>
    <s v="B"/>
    <s v="Southampton"/>
    <s v="yes"/>
    <b v="0"/>
    <n v="802"/>
    <n v="0"/>
    <n v="1.2898556476789617E+19"/>
  </r>
  <r>
    <b v="0"/>
    <x v="1"/>
    <x v="0"/>
    <x v="0"/>
    <x v="86"/>
    <x v="1"/>
    <x v="1"/>
    <x v="234"/>
    <x v="1"/>
    <x v="0"/>
    <x v="2"/>
    <b v="0"/>
    <m/>
    <s v="Cherbourg"/>
    <s v="yes"/>
    <b v="0"/>
    <n v="803"/>
    <n v="1"/>
    <n v="1.0074501852349389E+19"/>
  </r>
  <r>
    <b v="0"/>
    <x v="1"/>
    <x v="0"/>
    <x v="0"/>
    <x v="7"/>
    <x v="1"/>
    <x v="0"/>
    <x v="78"/>
    <x v="0"/>
    <x v="0"/>
    <x v="0"/>
    <b v="1"/>
    <m/>
    <s v="Southampton"/>
    <s v="yes"/>
    <b v="1"/>
    <n v="804"/>
    <n v="1"/>
    <n v="2.6554693749679443E+17"/>
  </r>
  <r>
    <b v="0"/>
    <x v="0"/>
    <x v="0"/>
    <x v="0"/>
    <x v="14"/>
    <x v="1"/>
    <x v="0"/>
    <x v="71"/>
    <x v="0"/>
    <x v="0"/>
    <x v="0"/>
    <b v="1"/>
    <m/>
    <s v="Southampton"/>
    <s v="no"/>
    <b v="1"/>
    <n v="805"/>
    <n v="1"/>
    <n v="1.0041316958090908E+19"/>
  </r>
  <r>
    <b v="0"/>
    <x v="0"/>
    <x v="1"/>
    <x v="0"/>
    <x v="12"/>
    <x v="1"/>
    <x v="0"/>
    <x v="104"/>
    <x v="0"/>
    <x v="1"/>
    <x v="0"/>
    <b v="1"/>
    <s v="A"/>
    <s v="Southampton"/>
    <s v="no"/>
    <b v="1"/>
    <n v="806"/>
    <n v="0"/>
    <n v="8.3826873194338939E+18"/>
  </r>
  <r>
    <b v="0"/>
    <x v="0"/>
    <x v="0"/>
    <x v="1"/>
    <x v="24"/>
    <x v="1"/>
    <x v="0"/>
    <x v="71"/>
    <x v="0"/>
    <x v="0"/>
    <x v="1"/>
    <b v="0"/>
    <m/>
    <s v="Southampton"/>
    <s v="no"/>
    <b v="1"/>
    <n v="807"/>
    <n v="1"/>
    <n v="4.3495533306122819E+18"/>
  </r>
  <r>
    <b v="0"/>
    <x v="0"/>
    <x v="2"/>
    <x v="0"/>
    <x v="12"/>
    <x v="1"/>
    <x v="0"/>
    <x v="16"/>
    <x v="0"/>
    <x v="2"/>
    <x v="0"/>
    <b v="1"/>
    <m/>
    <s v="Southampton"/>
    <s v="no"/>
    <b v="1"/>
    <n v="808"/>
    <n v="1"/>
    <n v="1.3388383207392514E+19"/>
  </r>
  <r>
    <b v="0"/>
    <x v="1"/>
    <x v="1"/>
    <x v="1"/>
    <x v="40"/>
    <x v="0"/>
    <x v="0"/>
    <x v="3"/>
    <x v="0"/>
    <x v="1"/>
    <x v="1"/>
    <b v="0"/>
    <s v="E"/>
    <s v="Southampton"/>
    <s v="yes"/>
    <b v="0"/>
    <n v="809"/>
    <n v="0"/>
    <n v="2.7531028114821485E+17"/>
  </r>
  <r>
    <b v="0"/>
    <x v="0"/>
    <x v="0"/>
    <x v="0"/>
    <x v="2"/>
    <x v="1"/>
    <x v="0"/>
    <x v="235"/>
    <x v="0"/>
    <x v="0"/>
    <x v="0"/>
    <b v="1"/>
    <m/>
    <s v="Southampton"/>
    <s v="no"/>
    <b v="1"/>
    <n v="810"/>
    <n v="1"/>
    <n v="1.8046417596600611E+19"/>
  </r>
  <r>
    <b v="0"/>
    <x v="0"/>
    <x v="0"/>
    <x v="0"/>
    <x v="12"/>
    <x v="1"/>
    <x v="0"/>
    <x v="72"/>
    <x v="0"/>
    <x v="0"/>
    <x v="0"/>
    <b v="1"/>
    <m/>
    <s v="Southampton"/>
    <s v="no"/>
    <b v="1"/>
    <n v="811"/>
    <n v="1"/>
    <n v="3.2630342910751002E+18"/>
  </r>
  <r>
    <b v="0"/>
    <x v="0"/>
    <x v="2"/>
    <x v="0"/>
    <x v="3"/>
    <x v="1"/>
    <x v="0"/>
    <x v="29"/>
    <x v="0"/>
    <x v="2"/>
    <x v="0"/>
    <b v="1"/>
    <m/>
    <s v="Southampton"/>
    <s v="no"/>
    <b v="1"/>
    <n v="812"/>
    <n v="1"/>
    <n v="1.5297235760904946E+19"/>
  </r>
  <r>
    <b v="0"/>
    <x v="0"/>
    <x v="0"/>
    <x v="1"/>
    <x v="83"/>
    <x v="3"/>
    <x v="2"/>
    <x v="12"/>
    <x v="0"/>
    <x v="0"/>
    <x v="2"/>
    <b v="0"/>
    <m/>
    <s v="Southampton"/>
    <s v="no"/>
    <b v="0"/>
    <n v="813"/>
    <n v="1"/>
    <n v="6.2610516840711721E+18"/>
  </r>
  <r>
    <b v="0"/>
    <x v="0"/>
    <x v="0"/>
    <x v="0"/>
    <x v="85"/>
    <x v="1"/>
    <x v="0"/>
    <x v="4"/>
    <x v="0"/>
    <x v="0"/>
    <x v="0"/>
    <b v="1"/>
    <m/>
    <s v="Southampton"/>
    <s v="no"/>
    <b v="1"/>
    <n v="814"/>
    <n v="1"/>
    <n v="1.5441540781552515E+19"/>
  </r>
  <r>
    <b v="0"/>
    <x v="0"/>
    <x v="1"/>
    <x v="0"/>
    <x v="4"/>
    <x v="1"/>
    <x v="0"/>
    <x v="104"/>
    <x v="0"/>
    <x v="1"/>
    <x v="0"/>
    <b v="1"/>
    <s v="B"/>
    <s v="Southampton"/>
    <s v="no"/>
    <b v="1"/>
    <n v="815"/>
    <n v="1"/>
    <n v="1.3311292419843656E+18"/>
  </r>
  <r>
    <b v="0"/>
    <x v="0"/>
    <x v="0"/>
    <x v="1"/>
    <x v="41"/>
    <x v="1"/>
    <x v="0"/>
    <x v="2"/>
    <x v="0"/>
    <x v="0"/>
    <x v="1"/>
    <b v="0"/>
    <m/>
    <s v="Southampton"/>
    <s v="no"/>
    <b v="1"/>
    <n v="816"/>
    <n v="1"/>
    <n v="7.3533731859488358E+18"/>
  </r>
  <r>
    <b v="0"/>
    <x v="0"/>
    <x v="2"/>
    <x v="0"/>
    <x v="14"/>
    <x v="0"/>
    <x v="1"/>
    <x v="236"/>
    <x v="1"/>
    <x v="2"/>
    <x v="0"/>
    <b v="1"/>
    <m/>
    <s v="Cherbourg"/>
    <s v="no"/>
    <b v="0"/>
    <n v="817"/>
    <n v="1"/>
    <n v="1.5496774365462614E+19"/>
  </r>
  <r>
    <b v="0"/>
    <x v="0"/>
    <x v="0"/>
    <x v="0"/>
    <x v="71"/>
    <x v="1"/>
    <x v="0"/>
    <x v="237"/>
    <x v="0"/>
    <x v="0"/>
    <x v="0"/>
    <b v="1"/>
    <m/>
    <s v="Southampton"/>
    <s v="no"/>
    <b v="1"/>
    <n v="818"/>
    <n v="1"/>
    <n v="1.5193114826177268E+19"/>
  </r>
  <r>
    <b v="0"/>
    <x v="0"/>
    <x v="0"/>
    <x v="0"/>
    <x v="73"/>
    <x v="2"/>
    <x v="2"/>
    <x v="48"/>
    <x v="0"/>
    <x v="0"/>
    <x v="2"/>
    <b v="0"/>
    <m/>
    <s v="Southampton"/>
    <s v="no"/>
    <b v="0"/>
    <n v="819"/>
    <n v="1"/>
    <n v="1.1648885248064977E+19"/>
  </r>
  <r>
    <b v="0"/>
    <x v="1"/>
    <x v="1"/>
    <x v="1"/>
    <x v="67"/>
    <x v="0"/>
    <x v="1"/>
    <x v="198"/>
    <x v="0"/>
    <x v="1"/>
    <x v="1"/>
    <b v="0"/>
    <s v="B"/>
    <s v="Southampton"/>
    <s v="yes"/>
    <b v="0"/>
    <n v="820"/>
    <n v="0"/>
    <n v="7.3420579208541778E+18"/>
  </r>
  <r>
    <b v="0"/>
    <x v="1"/>
    <x v="0"/>
    <x v="0"/>
    <x v="7"/>
    <x v="1"/>
    <x v="0"/>
    <x v="51"/>
    <x v="0"/>
    <x v="0"/>
    <x v="0"/>
    <b v="1"/>
    <m/>
    <s v="Southampton"/>
    <s v="yes"/>
    <b v="1"/>
    <n v="821"/>
    <n v="1"/>
    <n v="4.1085883597182413E+18"/>
  </r>
  <r>
    <b v="0"/>
    <x v="0"/>
    <x v="1"/>
    <x v="0"/>
    <x v="1"/>
    <x v="1"/>
    <x v="0"/>
    <x v="104"/>
    <x v="0"/>
    <x v="1"/>
    <x v="0"/>
    <b v="1"/>
    <m/>
    <s v="Southampton"/>
    <s v="no"/>
    <b v="1"/>
    <n v="822"/>
    <n v="1"/>
    <n v="1.3233714083280923E+19"/>
  </r>
  <r>
    <b v="0"/>
    <x v="1"/>
    <x v="0"/>
    <x v="1"/>
    <x v="7"/>
    <x v="1"/>
    <x v="1"/>
    <x v="57"/>
    <x v="0"/>
    <x v="0"/>
    <x v="1"/>
    <b v="0"/>
    <s v="E"/>
    <s v="Southampton"/>
    <s v="yes"/>
    <b v="0"/>
    <n v="823"/>
    <n v="0"/>
    <n v="9.3663034854098555E+18"/>
  </r>
  <r>
    <b v="0"/>
    <x v="0"/>
    <x v="0"/>
    <x v="0"/>
    <x v="6"/>
    <x v="3"/>
    <x v="1"/>
    <x v="40"/>
    <x v="0"/>
    <x v="0"/>
    <x v="2"/>
    <b v="0"/>
    <m/>
    <s v="Southampton"/>
    <s v="no"/>
    <b v="0"/>
    <n v="824"/>
    <n v="1"/>
    <n v="1.2414039864609767E+19"/>
  </r>
  <r>
    <b v="0"/>
    <x v="0"/>
    <x v="0"/>
    <x v="0"/>
    <x v="4"/>
    <x v="1"/>
    <x v="0"/>
    <x v="238"/>
    <x v="2"/>
    <x v="0"/>
    <x v="0"/>
    <b v="1"/>
    <m/>
    <s v="Queenstown"/>
    <s v="no"/>
    <b v="1"/>
    <n v="825"/>
    <n v="1"/>
    <n v="1.7309625713844343E+19"/>
  </r>
  <r>
    <b v="0"/>
    <x v="0"/>
    <x v="0"/>
    <x v="0"/>
    <x v="4"/>
    <x v="1"/>
    <x v="0"/>
    <x v="54"/>
    <x v="0"/>
    <x v="0"/>
    <x v="0"/>
    <b v="1"/>
    <m/>
    <s v="Southampton"/>
    <s v="no"/>
    <b v="1"/>
    <n v="826"/>
    <n v="1"/>
    <n v="1.6022512635972499E+19"/>
  </r>
  <r>
    <b v="0"/>
    <x v="1"/>
    <x v="2"/>
    <x v="0"/>
    <x v="58"/>
    <x v="1"/>
    <x v="2"/>
    <x v="236"/>
    <x v="1"/>
    <x v="2"/>
    <x v="2"/>
    <b v="0"/>
    <m/>
    <s v="Cherbourg"/>
    <s v="yes"/>
    <b v="0"/>
    <n v="827"/>
    <n v="1"/>
    <n v="5.423827046097534E+18"/>
  </r>
  <r>
    <b v="0"/>
    <x v="1"/>
    <x v="0"/>
    <x v="0"/>
    <x v="4"/>
    <x v="1"/>
    <x v="0"/>
    <x v="28"/>
    <x v="2"/>
    <x v="0"/>
    <x v="0"/>
    <b v="1"/>
    <m/>
    <s v="Queenstown"/>
    <s v="yes"/>
    <b v="1"/>
    <n v="828"/>
    <n v="1"/>
    <n v="1.1007420607102986E+19"/>
  </r>
  <r>
    <b v="0"/>
    <x v="1"/>
    <x v="1"/>
    <x v="1"/>
    <x v="65"/>
    <x v="1"/>
    <x v="0"/>
    <x v="46"/>
    <x v="3"/>
    <x v="1"/>
    <x v="1"/>
    <b v="0"/>
    <s v="B"/>
    <m/>
    <s v="yes"/>
    <b v="1"/>
    <n v="829"/>
    <n v="1"/>
    <n v="8.0505821399944161E+18"/>
  </r>
  <r>
    <b v="0"/>
    <x v="1"/>
    <x v="0"/>
    <x v="1"/>
    <x v="16"/>
    <x v="0"/>
    <x v="0"/>
    <x v="53"/>
    <x v="1"/>
    <x v="0"/>
    <x v="2"/>
    <b v="0"/>
    <m/>
    <s v="Cherbourg"/>
    <s v="yes"/>
    <b v="0"/>
    <n v="830"/>
    <n v="1"/>
    <n v="8.8039778779023309E+18"/>
  </r>
  <r>
    <b v="0"/>
    <x v="1"/>
    <x v="2"/>
    <x v="0"/>
    <x v="38"/>
    <x v="0"/>
    <x v="1"/>
    <x v="170"/>
    <x v="0"/>
    <x v="2"/>
    <x v="2"/>
    <b v="0"/>
    <m/>
    <s v="Southampton"/>
    <s v="yes"/>
    <b v="0"/>
    <n v="831"/>
    <n v="1"/>
    <n v="1.2341652632392391E+19"/>
  </r>
  <r>
    <b v="0"/>
    <x v="0"/>
    <x v="0"/>
    <x v="0"/>
    <x v="4"/>
    <x v="1"/>
    <x v="0"/>
    <x v="32"/>
    <x v="1"/>
    <x v="0"/>
    <x v="0"/>
    <b v="1"/>
    <m/>
    <s v="Cherbourg"/>
    <s v="no"/>
    <b v="1"/>
    <n v="832"/>
    <n v="1"/>
    <n v="2.2552186298427891E+17"/>
  </r>
  <r>
    <b v="0"/>
    <x v="0"/>
    <x v="0"/>
    <x v="0"/>
    <x v="41"/>
    <x v="1"/>
    <x v="0"/>
    <x v="13"/>
    <x v="0"/>
    <x v="0"/>
    <x v="0"/>
    <b v="1"/>
    <m/>
    <s v="Southampton"/>
    <s v="no"/>
    <b v="1"/>
    <n v="833"/>
    <n v="1"/>
    <n v="1.3303918700978225E+19"/>
  </r>
  <r>
    <b v="0"/>
    <x v="0"/>
    <x v="0"/>
    <x v="0"/>
    <x v="24"/>
    <x v="1"/>
    <x v="0"/>
    <x v="239"/>
    <x v="0"/>
    <x v="0"/>
    <x v="0"/>
    <b v="1"/>
    <m/>
    <s v="Southampton"/>
    <s v="no"/>
    <b v="1"/>
    <n v="834"/>
    <n v="1"/>
    <n v="6.8256452456405747E+17"/>
  </r>
  <r>
    <b v="0"/>
    <x v="1"/>
    <x v="1"/>
    <x v="1"/>
    <x v="12"/>
    <x v="0"/>
    <x v="1"/>
    <x v="147"/>
    <x v="1"/>
    <x v="1"/>
    <x v="1"/>
    <b v="0"/>
    <s v="E"/>
    <s v="Cherbourg"/>
    <s v="yes"/>
    <b v="0"/>
    <n v="835"/>
    <n v="0"/>
    <n v="9.1888624136600607E+18"/>
  </r>
  <r>
    <b v="0"/>
    <x v="0"/>
    <x v="0"/>
    <x v="0"/>
    <x v="23"/>
    <x v="1"/>
    <x v="0"/>
    <x v="51"/>
    <x v="0"/>
    <x v="0"/>
    <x v="0"/>
    <b v="1"/>
    <m/>
    <s v="Southampton"/>
    <s v="no"/>
    <b v="1"/>
    <n v="836"/>
    <n v="1"/>
    <n v="1.5357568107698878E+19"/>
  </r>
  <r>
    <b v="0"/>
    <x v="0"/>
    <x v="0"/>
    <x v="0"/>
    <x v="4"/>
    <x v="1"/>
    <x v="0"/>
    <x v="4"/>
    <x v="0"/>
    <x v="0"/>
    <x v="0"/>
    <b v="1"/>
    <m/>
    <s v="Southampton"/>
    <s v="no"/>
    <b v="1"/>
    <n v="837"/>
    <n v="1"/>
    <n v="1.0562639253277999E+19"/>
  </r>
  <r>
    <b v="0"/>
    <x v="1"/>
    <x v="0"/>
    <x v="0"/>
    <x v="35"/>
    <x v="1"/>
    <x v="0"/>
    <x v="54"/>
    <x v="0"/>
    <x v="0"/>
    <x v="0"/>
    <b v="1"/>
    <m/>
    <s v="Southampton"/>
    <s v="yes"/>
    <b v="1"/>
    <n v="838"/>
    <n v="1"/>
    <n v="3.4650512612611912E+18"/>
  </r>
  <r>
    <b v="0"/>
    <x v="1"/>
    <x v="1"/>
    <x v="0"/>
    <x v="4"/>
    <x v="1"/>
    <x v="0"/>
    <x v="132"/>
    <x v="1"/>
    <x v="1"/>
    <x v="0"/>
    <b v="1"/>
    <s v="C"/>
    <s v="Cherbourg"/>
    <s v="yes"/>
    <b v="1"/>
    <n v="839"/>
    <n v="1"/>
    <n v="1.6532381614543727E+19"/>
  </r>
  <r>
    <b v="0"/>
    <x v="0"/>
    <x v="0"/>
    <x v="0"/>
    <x v="11"/>
    <x v="1"/>
    <x v="0"/>
    <x v="2"/>
    <x v="0"/>
    <x v="0"/>
    <x v="0"/>
    <b v="1"/>
    <m/>
    <s v="Southampton"/>
    <s v="no"/>
    <b v="1"/>
    <n v="840"/>
    <n v="1"/>
    <n v="3.5718807284992906E+18"/>
  </r>
  <r>
    <b v="0"/>
    <x v="0"/>
    <x v="2"/>
    <x v="0"/>
    <x v="36"/>
    <x v="1"/>
    <x v="0"/>
    <x v="29"/>
    <x v="0"/>
    <x v="2"/>
    <x v="0"/>
    <b v="1"/>
    <m/>
    <s v="Southampton"/>
    <s v="no"/>
    <b v="1"/>
    <n v="841"/>
    <n v="1"/>
    <n v="1.2102108560648403E+19"/>
  </r>
  <r>
    <b v="0"/>
    <x v="1"/>
    <x v="1"/>
    <x v="1"/>
    <x v="39"/>
    <x v="1"/>
    <x v="0"/>
    <x v="113"/>
    <x v="1"/>
    <x v="1"/>
    <x v="1"/>
    <b v="0"/>
    <m/>
    <s v="Cherbourg"/>
    <s v="yes"/>
    <b v="1"/>
    <n v="842"/>
    <n v="1"/>
    <n v="1.7841005020003523E+19"/>
  </r>
  <r>
    <b v="0"/>
    <x v="0"/>
    <x v="0"/>
    <x v="0"/>
    <x v="87"/>
    <x v="1"/>
    <x v="0"/>
    <x v="240"/>
    <x v="1"/>
    <x v="0"/>
    <x v="0"/>
    <b v="1"/>
    <m/>
    <s v="Cherbourg"/>
    <s v="no"/>
    <b v="1"/>
    <n v="843"/>
    <n v="1"/>
    <n v="1.5659306503485624E+19"/>
  </r>
  <r>
    <b v="0"/>
    <x v="0"/>
    <x v="0"/>
    <x v="0"/>
    <x v="34"/>
    <x v="1"/>
    <x v="0"/>
    <x v="51"/>
    <x v="0"/>
    <x v="0"/>
    <x v="0"/>
    <b v="1"/>
    <m/>
    <s v="Southampton"/>
    <s v="no"/>
    <b v="1"/>
    <n v="844"/>
    <n v="1"/>
    <n v="1.0820723955265188E+19"/>
  </r>
  <r>
    <b v="0"/>
    <x v="0"/>
    <x v="0"/>
    <x v="0"/>
    <x v="22"/>
    <x v="1"/>
    <x v="0"/>
    <x v="120"/>
    <x v="0"/>
    <x v="0"/>
    <x v="0"/>
    <b v="1"/>
    <m/>
    <s v="Southampton"/>
    <s v="no"/>
    <b v="1"/>
    <n v="845"/>
    <n v="1"/>
    <n v="1.290802746236815E+19"/>
  </r>
  <r>
    <b v="0"/>
    <x v="0"/>
    <x v="0"/>
    <x v="0"/>
    <x v="4"/>
    <x v="6"/>
    <x v="2"/>
    <x v="94"/>
    <x v="0"/>
    <x v="0"/>
    <x v="0"/>
    <b v="1"/>
    <m/>
    <s v="Southampton"/>
    <s v="no"/>
    <b v="0"/>
    <n v="846"/>
    <n v="1"/>
    <n v="9.3365212245714412E+18"/>
  </r>
  <r>
    <b v="0"/>
    <x v="0"/>
    <x v="0"/>
    <x v="0"/>
    <x v="3"/>
    <x v="1"/>
    <x v="0"/>
    <x v="25"/>
    <x v="1"/>
    <x v="0"/>
    <x v="0"/>
    <b v="1"/>
    <m/>
    <s v="Cherbourg"/>
    <s v="no"/>
    <b v="1"/>
    <n v="847"/>
    <n v="1"/>
    <n v="1.4410769326380995E+19"/>
  </r>
  <r>
    <b v="0"/>
    <x v="0"/>
    <x v="2"/>
    <x v="0"/>
    <x v="17"/>
    <x v="1"/>
    <x v="1"/>
    <x v="213"/>
    <x v="0"/>
    <x v="2"/>
    <x v="0"/>
    <b v="1"/>
    <m/>
    <s v="Southampton"/>
    <s v="no"/>
    <b v="0"/>
    <n v="848"/>
    <n v="1"/>
    <n v="1.288645981570732E+19"/>
  </r>
  <r>
    <b v="0"/>
    <x v="1"/>
    <x v="1"/>
    <x v="1"/>
    <x v="4"/>
    <x v="0"/>
    <x v="0"/>
    <x v="180"/>
    <x v="1"/>
    <x v="1"/>
    <x v="1"/>
    <b v="0"/>
    <s v="C"/>
    <s v="Cherbourg"/>
    <s v="yes"/>
    <b v="0"/>
    <n v="849"/>
    <n v="1"/>
    <n v="8.7989927714073375E+18"/>
  </r>
  <r>
    <b v="0"/>
    <x v="0"/>
    <x v="0"/>
    <x v="0"/>
    <x v="9"/>
    <x v="3"/>
    <x v="2"/>
    <x v="12"/>
    <x v="0"/>
    <x v="0"/>
    <x v="2"/>
    <b v="0"/>
    <m/>
    <s v="Southampton"/>
    <s v="no"/>
    <b v="0"/>
    <n v="850"/>
    <n v="1"/>
    <n v="1.8338002227191828E+19"/>
  </r>
  <r>
    <b v="0"/>
    <x v="0"/>
    <x v="0"/>
    <x v="0"/>
    <x v="88"/>
    <x v="1"/>
    <x v="0"/>
    <x v="71"/>
    <x v="0"/>
    <x v="0"/>
    <x v="0"/>
    <b v="1"/>
    <m/>
    <s v="Southampton"/>
    <s v="no"/>
    <b v="1"/>
    <n v="851"/>
    <n v="1"/>
    <n v="1.2519210284138326E+19"/>
  </r>
  <r>
    <b v="0"/>
    <x v="0"/>
    <x v="0"/>
    <x v="1"/>
    <x v="52"/>
    <x v="0"/>
    <x v="1"/>
    <x v="49"/>
    <x v="1"/>
    <x v="0"/>
    <x v="2"/>
    <b v="0"/>
    <m/>
    <s v="Cherbourg"/>
    <s v="no"/>
    <b v="0"/>
    <n v="852"/>
    <n v="1"/>
    <n v="1.6035772598252009E+19"/>
  </r>
  <r>
    <b v="0"/>
    <x v="1"/>
    <x v="1"/>
    <x v="1"/>
    <x v="36"/>
    <x v="1"/>
    <x v="1"/>
    <x v="241"/>
    <x v="0"/>
    <x v="1"/>
    <x v="1"/>
    <b v="0"/>
    <s v="D"/>
    <s v="Southampton"/>
    <s v="yes"/>
    <b v="0"/>
    <n v="853"/>
    <n v="0"/>
    <n v="1.6167284612867246E+19"/>
  </r>
  <r>
    <b v="0"/>
    <x v="0"/>
    <x v="2"/>
    <x v="1"/>
    <x v="57"/>
    <x v="0"/>
    <x v="0"/>
    <x v="19"/>
    <x v="0"/>
    <x v="2"/>
    <x v="1"/>
    <b v="0"/>
    <m/>
    <s v="Southampton"/>
    <s v="no"/>
    <b v="0"/>
    <n v="854"/>
    <n v="1"/>
    <n v="1.7766886700841275E+19"/>
  </r>
  <r>
    <b v="0"/>
    <x v="1"/>
    <x v="0"/>
    <x v="1"/>
    <x v="24"/>
    <x v="1"/>
    <x v="1"/>
    <x v="118"/>
    <x v="0"/>
    <x v="0"/>
    <x v="1"/>
    <b v="0"/>
    <m/>
    <s v="Southampton"/>
    <s v="yes"/>
    <b v="0"/>
    <n v="855"/>
    <n v="1"/>
    <n v="1.136651991051467E+19"/>
  </r>
  <r>
    <b v="0"/>
    <x v="1"/>
    <x v="1"/>
    <x v="1"/>
    <x v="33"/>
    <x v="0"/>
    <x v="1"/>
    <x v="150"/>
    <x v="0"/>
    <x v="1"/>
    <x v="1"/>
    <b v="0"/>
    <m/>
    <s v="Southampton"/>
    <s v="yes"/>
    <b v="0"/>
    <n v="856"/>
    <n v="1"/>
    <n v="8.9689961495231867E+18"/>
  </r>
  <r>
    <b v="0"/>
    <x v="1"/>
    <x v="1"/>
    <x v="0"/>
    <x v="54"/>
    <x v="1"/>
    <x v="0"/>
    <x v="11"/>
    <x v="0"/>
    <x v="1"/>
    <x v="0"/>
    <b v="1"/>
    <s v="E"/>
    <s v="Southampton"/>
    <s v="yes"/>
    <b v="1"/>
    <n v="857"/>
    <n v="0"/>
    <n v="1.6249429860170816E+18"/>
  </r>
  <r>
    <b v="0"/>
    <x v="1"/>
    <x v="0"/>
    <x v="1"/>
    <x v="42"/>
    <x v="1"/>
    <x v="4"/>
    <x v="178"/>
    <x v="1"/>
    <x v="0"/>
    <x v="1"/>
    <b v="0"/>
    <m/>
    <s v="Cherbourg"/>
    <s v="yes"/>
    <b v="0"/>
    <n v="858"/>
    <n v="1"/>
    <n v="1.5178320598177777E+18"/>
  </r>
  <r>
    <b v="0"/>
    <x v="0"/>
    <x v="0"/>
    <x v="0"/>
    <x v="4"/>
    <x v="1"/>
    <x v="0"/>
    <x v="32"/>
    <x v="1"/>
    <x v="0"/>
    <x v="0"/>
    <b v="1"/>
    <m/>
    <s v="Cherbourg"/>
    <s v="no"/>
    <b v="1"/>
    <n v="859"/>
    <n v="1"/>
    <n v="1.3370951005625862E+19"/>
  </r>
  <r>
    <b v="0"/>
    <x v="0"/>
    <x v="0"/>
    <x v="0"/>
    <x v="66"/>
    <x v="4"/>
    <x v="0"/>
    <x v="242"/>
    <x v="0"/>
    <x v="0"/>
    <x v="0"/>
    <b v="1"/>
    <m/>
    <s v="Southampton"/>
    <s v="no"/>
    <b v="0"/>
    <n v="860"/>
    <n v="1"/>
    <n v="1.3076097099426947E+19"/>
  </r>
  <r>
    <b v="0"/>
    <x v="0"/>
    <x v="2"/>
    <x v="0"/>
    <x v="23"/>
    <x v="0"/>
    <x v="0"/>
    <x v="86"/>
    <x v="0"/>
    <x v="2"/>
    <x v="0"/>
    <b v="1"/>
    <m/>
    <s v="Southampton"/>
    <s v="no"/>
    <b v="0"/>
    <n v="861"/>
    <n v="1"/>
    <n v="1.0110996506622851E+19"/>
  </r>
  <r>
    <b v="0"/>
    <x v="1"/>
    <x v="1"/>
    <x v="1"/>
    <x v="76"/>
    <x v="1"/>
    <x v="0"/>
    <x v="232"/>
    <x v="0"/>
    <x v="1"/>
    <x v="1"/>
    <b v="0"/>
    <s v="D"/>
    <s v="Southampton"/>
    <s v="yes"/>
    <b v="1"/>
    <n v="862"/>
    <n v="0"/>
    <n v="4.1947673696239954E+18"/>
  </r>
  <r>
    <b v="0"/>
    <x v="0"/>
    <x v="0"/>
    <x v="1"/>
    <x v="4"/>
    <x v="6"/>
    <x v="2"/>
    <x v="94"/>
    <x v="0"/>
    <x v="0"/>
    <x v="1"/>
    <b v="0"/>
    <m/>
    <s v="Southampton"/>
    <s v="no"/>
    <b v="0"/>
    <n v="863"/>
    <n v="1"/>
    <n v="2.3885281135798042E+18"/>
  </r>
  <r>
    <b v="0"/>
    <x v="0"/>
    <x v="2"/>
    <x v="0"/>
    <x v="42"/>
    <x v="1"/>
    <x v="0"/>
    <x v="16"/>
    <x v="0"/>
    <x v="2"/>
    <x v="0"/>
    <b v="1"/>
    <m/>
    <s v="Southampton"/>
    <s v="no"/>
    <b v="1"/>
    <n v="864"/>
    <n v="1"/>
    <n v="9.7252635684066368E+17"/>
  </r>
  <r>
    <b v="0"/>
    <x v="1"/>
    <x v="2"/>
    <x v="1"/>
    <x v="22"/>
    <x v="1"/>
    <x v="0"/>
    <x v="16"/>
    <x v="0"/>
    <x v="2"/>
    <x v="1"/>
    <b v="0"/>
    <m/>
    <s v="Southampton"/>
    <s v="yes"/>
    <b v="1"/>
    <n v="865"/>
    <n v="1"/>
    <n v="7.5201229546344141E+18"/>
  </r>
  <r>
    <b v="0"/>
    <x v="1"/>
    <x v="2"/>
    <x v="1"/>
    <x v="7"/>
    <x v="0"/>
    <x v="0"/>
    <x v="243"/>
    <x v="1"/>
    <x v="2"/>
    <x v="1"/>
    <b v="0"/>
    <m/>
    <s v="Cherbourg"/>
    <s v="yes"/>
    <b v="0"/>
    <n v="866"/>
    <n v="1"/>
    <n v="5.7760123645608325E+18"/>
  </r>
  <r>
    <b v="0"/>
    <x v="0"/>
    <x v="1"/>
    <x v="0"/>
    <x v="14"/>
    <x v="1"/>
    <x v="0"/>
    <x v="244"/>
    <x v="0"/>
    <x v="1"/>
    <x v="0"/>
    <b v="1"/>
    <s v="A"/>
    <s v="Southampton"/>
    <s v="no"/>
    <b v="1"/>
    <n v="867"/>
    <n v="0"/>
    <n v="1.0603249898363179E+19"/>
  </r>
  <r>
    <b v="0"/>
    <x v="0"/>
    <x v="0"/>
    <x v="0"/>
    <x v="4"/>
    <x v="1"/>
    <x v="0"/>
    <x v="59"/>
    <x v="0"/>
    <x v="0"/>
    <x v="0"/>
    <b v="1"/>
    <m/>
    <s v="Southampton"/>
    <s v="no"/>
    <b v="1"/>
    <n v="868"/>
    <n v="1"/>
    <n v="1.8052826833340598E+19"/>
  </r>
  <r>
    <b v="0"/>
    <x v="1"/>
    <x v="0"/>
    <x v="0"/>
    <x v="9"/>
    <x v="0"/>
    <x v="1"/>
    <x v="8"/>
    <x v="0"/>
    <x v="0"/>
    <x v="2"/>
    <b v="0"/>
    <m/>
    <s v="Southampton"/>
    <s v="yes"/>
    <b v="0"/>
    <n v="869"/>
    <n v="1"/>
    <n v="1.5806125548259424E+19"/>
  </r>
  <r>
    <b v="0"/>
    <x v="0"/>
    <x v="0"/>
    <x v="0"/>
    <x v="2"/>
    <x v="1"/>
    <x v="0"/>
    <x v="25"/>
    <x v="0"/>
    <x v="0"/>
    <x v="0"/>
    <b v="1"/>
    <m/>
    <s v="Southampton"/>
    <s v="no"/>
    <b v="1"/>
    <n v="870"/>
    <n v="1"/>
    <n v="1.3545766340361759E+19"/>
  </r>
  <r>
    <b v="0"/>
    <x v="1"/>
    <x v="1"/>
    <x v="1"/>
    <x v="47"/>
    <x v="0"/>
    <x v="1"/>
    <x v="124"/>
    <x v="0"/>
    <x v="1"/>
    <x v="1"/>
    <b v="0"/>
    <s v="D"/>
    <s v="Southampton"/>
    <s v="yes"/>
    <b v="0"/>
    <n v="871"/>
    <n v="0"/>
    <n v="1.5316076737383313E+19"/>
  </r>
  <r>
    <b v="0"/>
    <x v="0"/>
    <x v="1"/>
    <x v="0"/>
    <x v="40"/>
    <x v="1"/>
    <x v="0"/>
    <x v="245"/>
    <x v="0"/>
    <x v="1"/>
    <x v="0"/>
    <b v="1"/>
    <s v="B"/>
    <s v="Southampton"/>
    <s v="no"/>
    <b v="1"/>
    <n v="872"/>
    <n v="0"/>
    <n v="3.3821828027579223E+18"/>
  </r>
  <r>
    <b v="0"/>
    <x v="0"/>
    <x v="0"/>
    <x v="0"/>
    <x v="47"/>
    <x v="1"/>
    <x v="0"/>
    <x v="58"/>
    <x v="0"/>
    <x v="0"/>
    <x v="0"/>
    <b v="1"/>
    <m/>
    <s v="Southampton"/>
    <s v="no"/>
    <b v="1"/>
    <n v="873"/>
    <n v="1"/>
    <n v="1.0059289719313939E+18"/>
  </r>
  <r>
    <b v="0"/>
    <x v="1"/>
    <x v="2"/>
    <x v="1"/>
    <x v="17"/>
    <x v="0"/>
    <x v="0"/>
    <x v="145"/>
    <x v="1"/>
    <x v="2"/>
    <x v="1"/>
    <b v="0"/>
    <m/>
    <s v="Cherbourg"/>
    <s v="yes"/>
    <b v="0"/>
    <n v="874"/>
    <n v="1"/>
    <n v="1.2264852222359347E+19"/>
  </r>
  <r>
    <b v="0"/>
    <x v="1"/>
    <x v="0"/>
    <x v="1"/>
    <x v="16"/>
    <x v="1"/>
    <x v="0"/>
    <x v="18"/>
    <x v="1"/>
    <x v="0"/>
    <x v="2"/>
    <b v="0"/>
    <m/>
    <s v="Cherbourg"/>
    <s v="yes"/>
    <b v="1"/>
    <n v="875"/>
    <n v="1"/>
    <n v="6.0882416884603238E+18"/>
  </r>
  <r>
    <b v="0"/>
    <x v="0"/>
    <x v="0"/>
    <x v="0"/>
    <x v="11"/>
    <x v="1"/>
    <x v="0"/>
    <x v="246"/>
    <x v="0"/>
    <x v="0"/>
    <x v="0"/>
    <b v="1"/>
    <m/>
    <s v="Southampton"/>
    <s v="no"/>
    <b v="1"/>
    <n v="876"/>
    <n v="1"/>
    <n v="7.4261615433116508E+18"/>
  </r>
  <r>
    <b v="0"/>
    <x v="0"/>
    <x v="0"/>
    <x v="0"/>
    <x v="19"/>
    <x v="1"/>
    <x v="0"/>
    <x v="25"/>
    <x v="0"/>
    <x v="0"/>
    <x v="0"/>
    <b v="1"/>
    <m/>
    <s v="Southampton"/>
    <s v="no"/>
    <b v="1"/>
    <n v="877"/>
    <n v="1"/>
    <n v="8.1316676880915343E+18"/>
  </r>
  <r>
    <b v="0"/>
    <x v="0"/>
    <x v="0"/>
    <x v="0"/>
    <x v="4"/>
    <x v="1"/>
    <x v="0"/>
    <x v="25"/>
    <x v="0"/>
    <x v="0"/>
    <x v="0"/>
    <b v="1"/>
    <m/>
    <s v="Southampton"/>
    <s v="no"/>
    <b v="1"/>
    <n v="878"/>
    <n v="1"/>
    <n v="1.7023975563089144E+19"/>
  </r>
  <r>
    <b v="0"/>
    <x v="1"/>
    <x v="1"/>
    <x v="1"/>
    <x v="60"/>
    <x v="1"/>
    <x v="1"/>
    <x v="147"/>
    <x v="1"/>
    <x v="1"/>
    <x v="1"/>
    <b v="0"/>
    <s v="C"/>
    <s v="Cherbourg"/>
    <s v="yes"/>
    <b v="0"/>
    <n v="879"/>
    <n v="0"/>
    <n v="1.0233672861926582E+19"/>
  </r>
  <r>
    <b v="0"/>
    <x v="1"/>
    <x v="2"/>
    <x v="1"/>
    <x v="37"/>
    <x v="1"/>
    <x v="1"/>
    <x v="19"/>
    <x v="0"/>
    <x v="2"/>
    <x v="1"/>
    <b v="0"/>
    <m/>
    <s v="Southampton"/>
    <s v="yes"/>
    <b v="0"/>
    <n v="880"/>
    <n v="1"/>
    <n v="1.4919875732739039E+19"/>
  </r>
  <r>
    <b v="0"/>
    <x v="0"/>
    <x v="0"/>
    <x v="0"/>
    <x v="40"/>
    <x v="1"/>
    <x v="0"/>
    <x v="25"/>
    <x v="0"/>
    <x v="0"/>
    <x v="0"/>
    <b v="1"/>
    <m/>
    <s v="Southampton"/>
    <s v="no"/>
    <b v="1"/>
    <n v="881"/>
    <n v="1"/>
    <n v="5.4072121700769075E+18"/>
  </r>
  <r>
    <b v="0"/>
    <x v="0"/>
    <x v="0"/>
    <x v="1"/>
    <x v="0"/>
    <x v="1"/>
    <x v="0"/>
    <x v="247"/>
    <x v="0"/>
    <x v="0"/>
    <x v="1"/>
    <b v="0"/>
    <m/>
    <s v="Southampton"/>
    <s v="no"/>
    <b v="1"/>
    <n v="882"/>
    <n v="1"/>
    <n v="4.9473856192502354E+18"/>
  </r>
  <r>
    <b v="0"/>
    <x v="0"/>
    <x v="2"/>
    <x v="0"/>
    <x v="17"/>
    <x v="1"/>
    <x v="0"/>
    <x v="29"/>
    <x v="0"/>
    <x v="2"/>
    <x v="0"/>
    <b v="1"/>
    <m/>
    <s v="Southampton"/>
    <s v="no"/>
    <b v="1"/>
    <n v="883"/>
    <n v="1"/>
    <n v="5.6005477272102922E+18"/>
  </r>
  <r>
    <b v="0"/>
    <x v="0"/>
    <x v="0"/>
    <x v="0"/>
    <x v="37"/>
    <x v="1"/>
    <x v="0"/>
    <x v="79"/>
    <x v="0"/>
    <x v="0"/>
    <x v="0"/>
    <b v="1"/>
    <m/>
    <s v="Southampton"/>
    <s v="no"/>
    <b v="1"/>
    <n v="884"/>
    <n v="1"/>
    <n v="5.5696717469376686E+18"/>
  </r>
  <r>
    <b v="0"/>
    <x v="0"/>
    <x v="0"/>
    <x v="1"/>
    <x v="12"/>
    <x v="1"/>
    <x v="3"/>
    <x v="15"/>
    <x v="2"/>
    <x v="0"/>
    <x v="1"/>
    <b v="0"/>
    <m/>
    <s v="Queenstown"/>
    <s v="no"/>
    <b v="0"/>
    <n v="885"/>
    <n v="1"/>
    <n v="6.9232699104099251E+17"/>
  </r>
  <r>
    <b v="0"/>
    <x v="0"/>
    <x v="2"/>
    <x v="0"/>
    <x v="7"/>
    <x v="1"/>
    <x v="0"/>
    <x v="16"/>
    <x v="0"/>
    <x v="2"/>
    <x v="0"/>
    <b v="1"/>
    <m/>
    <s v="Southampton"/>
    <s v="no"/>
    <b v="1"/>
    <n v="886"/>
    <n v="1"/>
    <n v="5.0218771842705265E+18"/>
  </r>
  <r>
    <b v="0"/>
    <x v="1"/>
    <x v="1"/>
    <x v="1"/>
    <x v="19"/>
    <x v="1"/>
    <x v="0"/>
    <x v="209"/>
    <x v="0"/>
    <x v="1"/>
    <x v="1"/>
    <b v="0"/>
    <s v="B"/>
    <s v="Southampton"/>
    <s v="yes"/>
    <b v="1"/>
    <n v="887"/>
    <n v="0"/>
    <n v="1.7823213886645453E+19"/>
  </r>
  <r>
    <b v="0"/>
    <x v="0"/>
    <x v="0"/>
    <x v="1"/>
    <x v="4"/>
    <x v="0"/>
    <x v="2"/>
    <x v="231"/>
    <x v="0"/>
    <x v="0"/>
    <x v="1"/>
    <b v="0"/>
    <m/>
    <s v="Southampton"/>
    <s v="no"/>
    <b v="0"/>
    <n v="888"/>
    <n v="1"/>
    <n v="3.8631488722312032E+17"/>
  </r>
  <r>
    <b v="0"/>
    <x v="1"/>
    <x v="1"/>
    <x v="0"/>
    <x v="2"/>
    <x v="1"/>
    <x v="0"/>
    <x v="209"/>
    <x v="1"/>
    <x v="1"/>
    <x v="0"/>
    <b v="1"/>
    <s v="C"/>
    <s v="Cherbourg"/>
    <s v="yes"/>
    <b v="1"/>
    <n v="889"/>
    <n v="0"/>
    <n v="1.2603438918875034E+18"/>
  </r>
  <r>
    <b v="0"/>
    <x v="0"/>
    <x v="0"/>
    <x v="0"/>
    <x v="35"/>
    <x v="1"/>
    <x v="0"/>
    <x v="28"/>
    <x v="2"/>
    <x v="0"/>
    <x v="0"/>
    <b v="1"/>
    <m/>
    <s v="Queenstown"/>
    <s v="no"/>
    <b v="1"/>
    <n v="890"/>
    <n v="1"/>
    <n v="1.0228714075249033E+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8B3AD-C6E3-47A6-946E-3DF35EDAC621}" name="pvt_Pivot" cacheId="1" applyNumberFormats="0" applyBorderFormats="0" applyFontFormats="0" applyPatternFormats="0" applyAlignmentFormats="0" applyWidthHeightFormats="1" dataCaption="Values" showError="1" updatedVersion="8" minRefreshableVersion="3" itemPrintTitles="1" createdVersion="8" indent="0" compact="0" compactData="0" multipleFieldFilters="0">
  <location ref="C8:O11" firstHeaderRow="0" firstDataRow="1" firstDataCol="10"/>
  <pivotFields count="19">
    <pivotField compact="0" outline="0" showAll="0"/>
    <pivotField axis="axisRow" compact="0" outline="0" showAll="0" defaultSubtotal="0">
      <items count="2">
        <item sd="0" x="0"/>
        <item sd="0" x="1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2">
        <item sd="0" x="1"/>
        <item sd="0" x="0"/>
      </items>
    </pivotField>
    <pivotField axis="axisRow" compact="0" outline="0" showAll="0" defaultSubtotal="0">
      <items count="89">
        <item sd="0" x="86"/>
        <item sd="0" x="84"/>
        <item sd="0" x="77"/>
        <item sd="0" x="38"/>
        <item sd="0" x="70"/>
        <item sd="0" x="58"/>
        <item sd="0" x="6"/>
        <item sd="0" x="25"/>
        <item sd="0" x="9"/>
        <item sd="0" x="31"/>
        <item sd="0" x="83"/>
        <item sd="0" x="26"/>
        <item sd="0" x="18"/>
        <item sd="0" x="52"/>
        <item sd="0" x="73"/>
        <item sd="0" x="32"/>
        <item sd="0" x="51"/>
        <item sd="0" x="75"/>
        <item sd="0" x="8"/>
        <item sd="0" x="48"/>
        <item sd="0" x="16"/>
        <item sd="0" x="36"/>
        <item sd="0" x="34"/>
        <item sd="0" x="24"/>
        <item sd="0" x="19"/>
        <item sd="0" x="11"/>
        <item sd="0" x="64"/>
        <item sd="0" x="23"/>
        <item sd="0" x="0"/>
        <item sd="0" x="41"/>
        <item sd="0" x="69"/>
        <item sd="0" x="42"/>
        <item sd="0" x="82"/>
        <item sd="0" x="37"/>
        <item sd="0" x="2"/>
        <item sd="0" x="7"/>
        <item sd="0" x="17"/>
        <item sd="0" x="30"/>
        <item sd="0" x="28"/>
        <item sd="0" x="39"/>
        <item sd="0" x="85"/>
        <item sd="0" x="14"/>
        <item sd="0" x="35"/>
        <item sd="0" x="50"/>
        <item sd="0" x="40"/>
        <item sd="0" x="15"/>
        <item sd="0" x="87"/>
        <item sd="0" x="3"/>
        <item sd="0" x="62"/>
        <item sd="0" x="53"/>
        <item sd="0" x="46"/>
        <item sd="0" x="1"/>
        <item sd="0" x="12"/>
        <item sd="0" x="20"/>
        <item sd="0" x="56"/>
        <item sd="0" x="66"/>
        <item sd="0" x="22"/>
        <item sd="0" x="71"/>
        <item sd="0" x="57"/>
        <item sd="0" x="33"/>
        <item sd="0" x="63"/>
        <item sd="0" x="43"/>
        <item sd="0" x="47"/>
        <item sd="0" x="76"/>
        <item sd="0" x="27"/>
        <item sd="0" x="61"/>
        <item sd="0" x="54"/>
        <item sd="0" x="67"/>
        <item sd="0" x="78"/>
        <item sd="0" x="5"/>
        <item sd="0" x="13"/>
        <item sd="0" x="55"/>
        <item sd="0" x="60"/>
        <item sd="0" x="79"/>
        <item sd="0" x="10"/>
        <item sd="0" x="44"/>
        <item sd="0" x="72"/>
        <item sd="0" x="59"/>
        <item sd="0" x="65"/>
        <item sd="0" x="68"/>
        <item sd="0" x="74"/>
        <item sd="0" x="29"/>
        <item sd="0" x="21"/>
        <item sd="0" x="81"/>
        <item sd="0" x="49"/>
        <item sd="0" x="45"/>
        <item sd="0" x="88"/>
        <item sd="0" x="80"/>
        <item sd="0" x="4"/>
      </items>
    </pivotField>
    <pivotField axis="axisRow" compact="0" outline="0" showAll="0" defaultSubtotal="0">
      <items count="7">
        <item sd="0" x="1"/>
        <item sd="0" x="0"/>
        <item sd="0" x="4"/>
        <item sd="0" x="2"/>
        <item sd="0" x="3"/>
        <item sd="0" x="5"/>
        <item sd="0" x="6"/>
      </items>
    </pivotField>
    <pivotField axis="axisRow" compact="0" outline="0" showAll="0" defaultSubtotal="0">
      <items count="7">
        <item sd="0" x="0"/>
        <item sd="0" x="1"/>
        <item sd="0" x="2"/>
        <item sd="0" x="4"/>
        <item sd="0" x="5"/>
        <item sd="0" x="3"/>
        <item sd="0" x="6"/>
      </items>
    </pivotField>
    <pivotField axis="axisRow" compact="0" outline="0" showAll="0" defaultSubtotal="0">
      <items count="248">
        <item sd="0" x="104"/>
        <item sd="0" x="163"/>
        <item sd="0" x="245"/>
        <item sd="0" x="152"/>
        <item sd="0" x="240"/>
        <item sd="0" x="237"/>
        <item sd="0" x="110"/>
        <item sd="0" x="85"/>
        <item sd="0" x="171"/>
        <item sd="0" x="238"/>
        <item sd="0" x="78"/>
        <item sd="0" x="185"/>
        <item sd="0" x="79"/>
        <item sd="0" x="218"/>
        <item sd="0" x="123"/>
        <item sd="0" x="76"/>
        <item sd="0" x="18"/>
        <item sd="0" x="32"/>
        <item sd="0" x="0"/>
        <item sd="0" x="91"/>
        <item sd="0" x="196"/>
        <item sd="0" x="186"/>
        <item sd="0" x="120"/>
        <item sd="0" x="192"/>
        <item sd="0" x="55"/>
        <item sd="0" x="182"/>
        <item sd="0" x="166"/>
        <item sd="0" x="93"/>
        <item sd="0" x="229"/>
        <item sd="0" x="227"/>
        <item sd="0" x="28"/>
        <item sd="0" x="71"/>
        <item sd="0" x="60"/>
        <item sd="0" x="88"/>
        <item sd="0" x="41"/>
        <item sd="0" x="204"/>
        <item sd="0" x="13"/>
        <item sd="0" x="173"/>
        <item sd="0" x="24"/>
        <item sd="0" x="235"/>
        <item sd="0" x="25"/>
        <item sd="0" x="2"/>
        <item sd="0" x="20"/>
        <item sd="0" x="4"/>
        <item sd="0" x="176"/>
        <item sd="0" x="222"/>
        <item sd="0" x="50"/>
        <item sd="0" x="239"/>
        <item sd="0" x="230"/>
        <item sd="0" x="109"/>
        <item sd="0" x="219"/>
        <item sd="0" x="5"/>
        <item sd="0" x="234"/>
        <item sd="0" x="70"/>
        <item sd="0" x="51"/>
        <item sd="0" x="233"/>
        <item sd="0" x="211"/>
        <item sd="0" x="138"/>
        <item sd="0" x="58"/>
        <item sd="0" x="83"/>
        <item sd="0" x="157"/>
        <item sd="0" x="118"/>
        <item sd="0" x="34"/>
        <item sd="0" x="228"/>
        <item sd="0" x="59"/>
        <item sd="0" x="188"/>
        <item sd="0" x="73"/>
        <item sd="0" x="184"/>
        <item sd="0" x="221"/>
        <item sd="0" x="246"/>
        <item sd="0" x="223"/>
        <item sd="0" x="111"/>
        <item sd="0" x="29"/>
        <item sd="0" x="247"/>
        <item sd="0" x="8"/>
        <item sd="0" x="33"/>
        <item sd="0" x="86"/>
        <item sd="0" x="167"/>
        <item sd="0" x="122"/>
        <item sd="0" x="187"/>
        <item sd="0" x="142"/>
        <item sd="0" x="57"/>
        <item sd="0" x="89"/>
        <item sd="0" x="169"/>
        <item sd="0" x="137"/>
        <item sd="0" x="16"/>
        <item sd="0" x="226"/>
        <item sd="0" x="119"/>
        <item sd="0" x="183"/>
        <item sd="0" x="243"/>
        <item sd="0" x="203"/>
        <item sd="0" x="149"/>
        <item sd="0" x="242"/>
        <item sd="0" x="174"/>
        <item sd="0" x="53"/>
        <item sd="0" x="74"/>
        <item sd="0" x="80"/>
        <item sd="0" x="212"/>
        <item sd="0" x="81"/>
        <item sd="0" x="105"/>
        <item sd="0" x="191"/>
        <item sd="0" x="49"/>
        <item sd="0" x="37"/>
        <item sd="0" x="215"/>
        <item sd="0" x="165"/>
        <item sd="0" x="96"/>
        <item sd="0" x="62"/>
        <item sd="0" x="156"/>
        <item sd="0" x="14"/>
        <item sd="0" x="95"/>
        <item sd="0" x="10"/>
        <item sd="0" x="206"/>
        <item sd="0" x="39"/>
        <item sd="0" x="17"/>
        <item sd="0" x="170"/>
        <item sd="0" x="112"/>
        <item sd="0" x="178"/>
        <item sd="0" x="131"/>
        <item sd="0" x="179"/>
        <item sd="0" x="125"/>
        <item sd="0" x="134"/>
        <item sd="0" x="97"/>
        <item sd="0" x="65"/>
        <item sd="0" x="35"/>
        <item sd="0" x="7"/>
        <item sd="0" x="38"/>
        <item sd="0" x="107"/>
        <item sd="0" x="77"/>
        <item sd="0" x="193"/>
        <item sd="0" x="68"/>
        <item sd="0" x="141"/>
        <item sd="0" x="231"/>
        <item sd="0" x="145"/>
        <item sd="0" x="72"/>
        <item sd="0" x="102"/>
        <item sd="0" x="220"/>
        <item sd="0" x="99"/>
        <item sd="0" x="232"/>
        <item sd="0" x="19"/>
        <item sd="0" x="121"/>
        <item sd="0" x="82"/>
        <item sd="0" x="194"/>
        <item sd="0" x="208"/>
        <item sd="0" x="11"/>
        <item sd="0" x="115"/>
        <item sd="0" x="26"/>
        <item sd="0" x="44"/>
        <item sd="0" x="48"/>
        <item sd="0" x="154"/>
        <item sd="0" x="103"/>
        <item sd="0" x="56"/>
        <item sd="0" x="15"/>
        <item sd="0" x="132"/>
        <item sd="0" x="209"/>
        <item sd="0" x="9"/>
        <item sd="0" x="140"/>
        <item sd="0" x="101"/>
        <item sd="0" x="113"/>
        <item sd="0" x="12"/>
        <item sd="0" x="22"/>
        <item sd="0" x="217"/>
        <item sd="0" x="172"/>
        <item sd="0" x="213"/>
        <item sd="0" x="100"/>
        <item sd="0" x="197"/>
        <item sd="0" x="63"/>
        <item sd="0" x="66"/>
        <item sd="0" x="158"/>
        <item sd="0" x="21"/>
        <item sd="0" x="87"/>
        <item sd="0" x="236"/>
        <item sd="0" x="181"/>
        <item sd="0" x="106"/>
        <item sd="0" x="241"/>
        <item sd="0" x="205"/>
        <item sd="0" x="40"/>
        <item sd="0" x="210"/>
        <item sd="0" x="36"/>
        <item sd="0" x="214"/>
        <item sd="0" x="45"/>
        <item sd="0" x="61"/>
        <item sd="0" x="201"/>
        <item sd="0" x="189"/>
        <item sd="0" x="108"/>
        <item sd="0" x="244"/>
        <item sd="0" x="207"/>
        <item sd="0" x="6"/>
        <item sd="0" x="31"/>
        <item sd="0" x="124"/>
        <item sd="0" x="3"/>
        <item sd="0" x="98"/>
        <item sd="0" x="161"/>
        <item sd="0" x="175"/>
        <item sd="0" x="54"/>
        <item sd="0" x="146"/>
        <item sd="0" x="225"/>
        <item sd="0" x="153"/>
        <item sd="0" x="195"/>
        <item sd="0" x="64"/>
        <item sd="0" x="92"/>
        <item sd="0" x="43"/>
        <item sd="0" x="67"/>
        <item sd="0" x="216"/>
        <item sd="0" x="90"/>
        <item sd="0" x="160"/>
        <item sd="0" x="94"/>
        <item sd="0" x="202"/>
        <item sd="0" x="1"/>
        <item sd="0" x="52"/>
        <item sd="0" x="159"/>
        <item sd="0" x="116"/>
        <item sd="0" x="42"/>
        <item sd="0" x="69"/>
        <item sd="0" x="133"/>
        <item sd="0" x="190"/>
        <item sd="0" x="135"/>
        <item sd="0" x="84"/>
        <item sd="0" x="128"/>
        <item sd="0" x="46"/>
        <item sd="0" x="177"/>
        <item sd="0" x="30"/>
        <item sd="0" x="147"/>
        <item sd="0" x="47"/>
        <item sd="0" x="126"/>
        <item sd="0" x="180"/>
        <item sd="0" x="117"/>
        <item sd="0" x="136"/>
        <item sd="0" x="198"/>
        <item sd="0" x="200"/>
        <item sd="0" x="144"/>
        <item sd="0" x="143"/>
        <item sd="0" x="114"/>
        <item sd="0" x="168"/>
        <item sd="0" x="155"/>
        <item sd="0" x="151"/>
        <item sd="0" x="130"/>
        <item sd="0" x="27"/>
        <item sd="0" x="139"/>
        <item sd="0" x="129"/>
        <item sd="0" x="150"/>
        <item sd="0" x="224"/>
        <item sd="0" x="162"/>
        <item sd="0" x="199"/>
        <item sd="0" x="164"/>
        <item sd="0" x="75"/>
        <item sd="0" x="148"/>
        <item sd="0" x="23"/>
        <item sd="0" x="127"/>
      </items>
    </pivotField>
    <pivotField axis="axisRow" compact="0" outline="0" showAll="0" defaultSubtotal="0">
      <items count="4">
        <item sd="0" x="1"/>
        <item sd="0" x="2"/>
        <item sd="0" x="0"/>
        <item sd="0" x="3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0">
    <field x="1"/>
    <field x="2"/>
    <field x="3"/>
    <field x="4"/>
    <field x="5"/>
    <field x="6"/>
    <field x="7"/>
    <field x="8"/>
    <field x="9"/>
    <field x="1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Has Blank %" fld="17" subtotal="average" baseField="0" baseItem="1" numFmtId="164"/>
    <dataField name="% of Total Blanks" fld="17" showDataAs="percentOfTotal" baseField="0" baseItem="1" numFmtId="164"/>
    <dataField name="% of Records" fld="17" subtotal="count" showDataAs="percentOfTotal" baseField="0" baseItem="2" numFmtId="10"/>
  </dataFields>
  <formats count="36"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38">
      <pivotArea dataOnly="0" outline="0" fieldPosition="0">
        <references count="1">
          <reference field="4294967294" count="1">
            <x v="0"/>
          </reference>
        </references>
      </pivotArea>
    </format>
    <format dxfId="37">
      <pivotArea outline="0" fieldPosition="0">
        <references count="1">
          <reference field="4294967294" count="1">
            <x v="0"/>
          </reference>
        </references>
      </pivotArea>
    </format>
    <format dxfId="36">
      <pivotArea outline="0" fieldPosition="0">
        <references count="1">
          <reference field="4294967294" count="1"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outline="0" fieldPosition="0">
        <references count="1">
          <reference field="4294967294" count="1" selected="0">
            <x v="1"/>
          </reference>
        </references>
      </pivotArea>
    </format>
    <format dxfId="31">
      <pivotArea dataOnly="0" outline="0" fieldPosition="0">
        <references count="1">
          <reference field="4294967294" count="1">
            <x v="1"/>
          </reference>
        </references>
      </pivotArea>
    </format>
    <format dxfId="30">
      <pivotArea type="all" dataOnly="0" outline="0" fieldPosition="0"/>
    </format>
    <format dxfId="29">
      <pivotArea type="all" dataOnly="0" outline="0" fieldPosition="0"/>
    </format>
    <format dxfId="28">
      <pivotArea outline="0" fieldPosition="0">
        <references count="1">
          <reference field="4294967294" count="1">
            <x v="2"/>
          </reference>
        </references>
      </pivotArea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field="1" type="button" dataOnly="0" labelOnly="1" outline="0" axis="axisRow" fieldPosition="0"/>
    </format>
    <format dxfId="25">
      <pivotArea field="2" type="button" dataOnly="0" labelOnly="1" outline="0" axis="axisRow" fieldPosition="1"/>
    </format>
    <format dxfId="24">
      <pivotArea field="3" type="button" dataOnly="0" labelOnly="1" outline="0" axis="axisRow" fieldPosition="2"/>
    </format>
    <format dxfId="23">
      <pivotArea field="4" type="button" dataOnly="0" labelOnly="1" outline="0" axis="axisRow" fieldPosition="3"/>
    </format>
    <format dxfId="22">
      <pivotArea field="5" type="button" dataOnly="0" labelOnly="1" outline="0" axis="axisRow" fieldPosition="4"/>
    </format>
    <format dxfId="21">
      <pivotArea field="6" type="button" dataOnly="0" labelOnly="1" outline="0" axis="axisRow" fieldPosition="5"/>
    </format>
    <format dxfId="20">
      <pivotArea field="7" type="button" dataOnly="0" labelOnly="1" outline="0" axis="axisRow" fieldPosition="6"/>
    </format>
    <format dxfId="19">
      <pivotArea field="8" type="button" dataOnly="0" labelOnly="1" outline="0" axis="axisRow" fieldPosition="7"/>
    </format>
    <format dxfId="18">
      <pivotArea field="9" type="button" dataOnly="0" labelOnly="1" outline="0" axis="axisRow" fieldPosition="8"/>
    </format>
    <format dxfId="17">
      <pivotArea field="10" type="button" dataOnly="0" labelOnly="1" outline="0" axis="axisRow" fieldPosition="9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outline="0" fieldPosition="0">
        <references count="1">
          <reference field="1" count="1">
            <x v="0"/>
          </reference>
        </references>
      </pivotArea>
    </format>
    <format dxfId="13">
      <pivotArea dataOnly="0" labelOnly="1" outline="0" fieldPosition="0">
        <references count="1">
          <reference field="1" count="1">
            <x v="1"/>
          </reference>
        </references>
      </pivotArea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DarkPivo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4D1C74-BE18-490E-B396-097D407DA97D}" name="tbl_Overview" displayName="tbl_Overview" ref="B10:AA25" totalsRowShown="0" headerRowDxfId="92" dataDxfId="90" headerRowBorderDxfId="91">
  <autoFilter ref="B10:AA25" xr:uid="{034D1C74-BE18-490E-B396-097D407DA97D}"/>
  <tableColumns count="26">
    <tableColumn id="1" xr3:uid="{010A8E62-502A-4B19-B37A-BF59E03A068A}" name="Field" dataDxfId="89"/>
    <tableColumn id="2" xr3:uid="{AD236665-EC7C-404F-8915-AD7CD5510D0F}" name="Definition" dataDxfId="88">
      <calculatedColumnFormula>IF(INDEX(Definitions,1,MATCH(tbl_Overview[[#This Row],[Field]],Headers,0))="Definition","",INDEX(Definitions,1,MATCH(tbl_Overview[[#This Row],[Field]],Headers,0)))</calculatedColumnFormula>
    </tableColumn>
    <tableColumn id="3" xr3:uid="{B78AB378-5727-433E-AB9C-BB970FC42B31}" name="Field Notes" dataDxfId="87">
      <calculatedColumnFormula>IF(INDEX(Notes,1,MATCH(tbl_Overview[[#This Row],[Field]],Headers,0))="Note","",INDEX(Notes,1,MATCH(tbl_Overview[[#This Row],[Field]],Headers,0)))</calculatedColumnFormula>
    </tableColumn>
    <tableColumn id="4" xr3:uid="{EF15AE67-FE31-471E-840E-8104B878A3E8}" name="Data type" dataDxfId="86"/>
    <tableColumn id="5" xr3:uid="{5006D683-9D12-4B97-9EF2-6D41AF6E0B35}" name="Distinct %" dataDxfId="85"/>
    <tableColumn id="6" xr3:uid="{3AFB42F8-9976-44FF-9239-74914D5BE035}" name="Missing %" dataDxfId="84"/>
    <tableColumn id="7" xr3:uid="{4BA41102-DB06-4180-9754-C88722FE82BD}" name="Memory Usage %" dataDxfId="83"/>
    <tableColumn id="8" xr3:uid="{D22319BD-3A80-40F3-84FC-A6D1627B2F29}" name="Memory Usage" dataDxfId="82"/>
    <tableColumn id="9" xr3:uid="{77FAEE19-B6C7-4056-8EF3-5EB877C820C4}" name="Distinct" dataDxfId="81"/>
    <tableColumn id="10" xr3:uid="{54FF47BF-594E-417B-9028-64A4DFE4D389}" name="Count" dataDxfId="80"/>
    <tableColumn id="11" xr3:uid="{54E587FE-36DC-4522-91DC-8B81B386217B}" name="Count %" dataDxfId="79"/>
    <tableColumn id="12" xr3:uid="{0DE21D83-93B1-480C-BE9C-379DA0E532C7}" name="Missing" dataDxfId="78"/>
    <tableColumn id="13" xr3:uid="{C4B407B9-B7FB-4DFC-A6B3-885C816BAF99}" name="Mean" dataDxfId="77"/>
    <tableColumn id="14" xr3:uid="{9796FD8E-D568-43E1-AC6E-BFAE7C7B7017}" name="Median" dataDxfId="76"/>
    <tableColumn id="15" xr3:uid="{A6A7BCED-DD2F-4B41-A84C-2F2674A38A53}" name="Mode" dataDxfId="75"/>
    <tableColumn id="16" xr3:uid="{46607FA5-244C-49C2-997C-B64EB2E94FDE}" name="Standard Deviation" dataDxfId="74"/>
    <tableColumn id="17" xr3:uid="{80BA1782-4C46-45CE-B3FB-40B70BA09AF9}" name="Variance" dataDxfId="73"/>
    <tableColumn id="18" xr3:uid="{EC3C5A76-EF95-419C-87A8-D8885B542521}" name="Min" dataDxfId="72"/>
    <tableColumn id="19" xr3:uid="{BFE545F8-810C-4F0A-A0B2-FF0AB9764A07}" name="5%" dataDxfId="71"/>
    <tableColumn id="20" xr3:uid="{77D31A9B-57B1-4422-8EF9-6320F00E0DB9}" name="25%" dataDxfId="70"/>
    <tableColumn id="21" xr3:uid="{7A350787-F0EA-4E65-B596-5D7253E75CD6}" name="50%" dataDxfId="69"/>
    <tableColumn id="22" xr3:uid="{FB4C260E-A19F-4908-9DBF-DB4AC630982A}" name="75%" dataDxfId="68"/>
    <tableColumn id="23" xr3:uid="{FBECC9F1-5BC8-4774-9475-EB2D6D28F1E2}" name="95%" dataDxfId="67"/>
    <tableColumn id="24" xr3:uid="{839CD532-ED80-4544-A8C8-E9E036764A84}" name="Max" dataDxfId="66"/>
    <tableColumn id="25" xr3:uid="{9DDA1FD6-82B1-4FBE-8BBD-B40C331930D2}" name="Range" dataDxfId="65"/>
    <tableColumn id="26" xr3:uid="{902A027A-FD65-44D4-B3D0-5B3883ACFA39}" name="IQR" dataDxfId="64"/>
  </tableColumns>
  <tableStyleInfo name="Dark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D1E60-5E37-456A-AD85-0649D531840E}" name="tbl_SourceData" displayName="tbl_SourceData" ref="D81:U972" totalsRowShown="0" headerRowDxfId="63" dataDxfId="62" headerRowCellStyle="DarkHeader" dataCellStyle="Normal">
  <autoFilter ref="D81:U972" xr:uid="{DB1D1E60-5E37-456A-AD85-0649D531840E}"/>
  <tableColumns count="18">
    <tableColumn id="1" xr3:uid="{57EDF41E-F06D-4819-BADE-3D62DE46F06C}" name="Record List" dataDxfId="61" dataCellStyle="Normal"/>
    <tableColumn id="2" xr3:uid="{CF70C9CE-83FE-40FA-8089-C68B39CF665A}" name="survived" dataDxfId="60" dataCellStyle="Normal"/>
    <tableColumn id="3" xr3:uid="{B8654690-502A-4FAF-9205-0118DABCB954}" name="pclass" dataDxfId="59" dataCellStyle="Normal"/>
    <tableColumn id="4" xr3:uid="{5A5BA001-2F93-4E62-880C-C4E8BDB17EEB}" name="sex" dataDxfId="58" dataCellStyle="Normal"/>
    <tableColumn id="5" xr3:uid="{EBFEFF5B-9F3E-4161-AFCE-B67591231B0E}" name="age" dataDxfId="57" dataCellStyle="Normal"/>
    <tableColumn id="6" xr3:uid="{EA2054C2-66D9-4936-8B52-9CB2EE76FB6A}" name="sibsp" dataDxfId="56" dataCellStyle="Normal"/>
    <tableColumn id="7" xr3:uid="{90779EBB-3064-46B4-8246-D4AF2A904985}" name="parch" dataDxfId="55" dataCellStyle="Normal"/>
    <tableColumn id="8" xr3:uid="{E6783F15-419B-4B20-8325-DA88DEF3B247}" name="fare" dataDxfId="54" dataCellStyle="Normal"/>
    <tableColumn id="9" xr3:uid="{6BB3F831-4301-4C3F-8387-319E216A1CCC}" name="embarked" dataDxfId="53" dataCellStyle="Normal"/>
    <tableColumn id="10" xr3:uid="{3CDC2CED-FE02-485F-893F-66B47438FEF4}" name="class" dataDxfId="52" dataCellStyle="Normal"/>
    <tableColumn id="11" xr3:uid="{B80A5329-E25B-4B45-9314-6688BEB548F6}" name="who" dataDxfId="51" dataCellStyle="Normal"/>
    <tableColumn id="12" xr3:uid="{45E2A231-335C-40E1-AC7B-275B315B99F4}" name="adult_male" dataDxfId="50" dataCellStyle="Normal"/>
    <tableColumn id="13" xr3:uid="{2D88BA42-7FB2-4640-A032-CA7DC79C0DB9}" name="deck" dataDxfId="49" dataCellStyle="Normal"/>
    <tableColumn id="14" xr3:uid="{CA89ABBA-24BB-459B-BE9F-6CF19FC3A85D}" name="embark_town" dataDxfId="48" dataCellStyle="Normal"/>
    <tableColumn id="15" xr3:uid="{B1E75220-A86C-4A28-B184-F8297D69E63A}" name="alive" dataDxfId="47" dataCellStyle="Normal"/>
    <tableColumn id="16" xr3:uid="{946D0A6C-6A5B-47FF-8BBA-FB4D33626354}" name="alone" dataDxfId="46" dataCellStyle="Normal"/>
    <tableColumn id="17" xr3:uid="{CB3E5C3F-20F8-42DE-A83B-5A5FDCF141FF}" name="HasBlank" dataDxfId="45" dataCellStyle="Normal"/>
    <tableColumn id="18" xr3:uid="{821A6C72-424E-428D-8DAC-0BC3822E53A8}" name="Record Hash" dataDxfId="44" dataCellStyle="Normal"/>
  </tableColumns>
  <tableStyleInfo name="Dark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3A3A3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7EC2E-99C3-4FD8-98FA-DB511231C81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04D-ED8D-4020-BF94-4BC59283B45E}">
  <sheetPr codeName="Sheet1"/>
  <dimension ref="B1:AA25"/>
  <sheetViews>
    <sheetView zoomScale="85" zoomScaleNormal="85" workbookViewId="0">
      <selection activeCell="B10" sqref="B10"/>
    </sheetView>
  </sheetViews>
  <sheetFormatPr defaultRowHeight="15" customHeight="1"/>
  <cols>
    <col min="1" max="1" width="2.77734375" style="5" customWidth="1"/>
    <col min="2" max="2" width="32" style="5" customWidth="1"/>
    <col min="3" max="3" width="42.33203125" style="5" customWidth="1"/>
    <col min="4" max="4" width="45.5546875" style="5" customWidth="1"/>
    <col min="5" max="5" width="17.6640625" style="5" customWidth="1"/>
    <col min="6" max="7" width="15.88671875" style="5" customWidth="1"/>
    <col min="8" max="8" width="17.6640625" style="5" customWidth="1"/>
    <col min="9" max="9" width="15.6640625" style="5" customWidth="1"/>
    <col min="10" max="16" width="13.5546875" style="5" customWidth="1"/>
    <col min="17" max="17" width="19" style="5" customWidth="1"/>
    <col min="18" max="27" width="13.5546875" style="5" customWidth="1"/>
    <col min="28" max="16384" width="8.88671875" style="5"/>
  </cols>
  <sheetData>
    <row r="1" spans="2:27" ht="14.4">
      <c r="AA1" s="4"/>
    </row>
    <row r="2" spans="2:27" ht="36.6" customHeight="1">
      <c r="B2" s="10" t="str">
        <f>Name</f>
        <v>Titanic</v>
      </c>
      <c r="AA2" s="7"/>
    </row>
    <row r="3" spans="2:27" ht="10.050000000000001" customHeight="1">
      <c r="B3" s="40"/>
      <c r="AA3" s="8"/>
    </row>
    <row r="4" spans="2:27" ht="15" customHeight="1">
      <c r="B4" s="39" t="s">
        <v>7</v>
      </c>
      <c r="C4" s="36">
        <v>891</v>
      </c>
      <c r="AA4" s="9"/>
    </row>
    <row r="5" spans="2:27" ht="15" customHeight="1">
      <c r="B5" s="38" t="s">
        <v>47</v>
      </c>
      <c r="C5" s="37">
        <v>15</v>
      </c>
      <c r="AA5" s="4"/>
    </row>
    <row r="6" spans="2:27" ht="15" customHeight="1">
      <c r="B6" s="38" t="s">
        <v>13</v>
      </c>
      <c r="C6" s="37" t="s">
        <v>51</v>
      </c>
      <c r="AA6" s="4"/>
    </row>
    <row r="7" spans="2:27" ht="15" customHeight="1">
      <c r="B7" s="38" t="s">
        <v>48</v>
      </c>
      <c r="C7" s="72">
        <v>0.87991021324354657</v>
      </c>
      <c r="D7" s="4"/>
    </row>
    <row r="8" spans="2:27" ht="15" customHeight="1">
      <c r="B8" s="41" t="s">
        <v>49</v>
      </c>
      <c r="C8" s="73">
        <v>6.5020576131687241E-2</v>
      </c>
      <c r="D8" s="6"/>
    </row>
    <row r="9" spans="2:27" ht="24" customHeight="1"/>
    <row r="10" spans="2:27" ht="40.049999999999997" customHeight="1">
      <c r="B10" s="69" t="s">
        <v>34</v>
      </c>
      <c r="C10" s="69" t="s">
        <v>35</v>
      </c>
      <c r="D10" s="69" t="s">
        <v>2</v>
      </c>
      <c r="E10" s="70" t="s">
        <v>9</v>
      </c>
      <c r="F10" s="70" t="s">
        <v>10</v>
      </c>
      <c r="G10" s="70" t="s">
        <v>11</v>
      </c>
      <c r="H10" s="70" t="s">
        <v>12</v>
      </c>
      <c r="I10" s="70" t="s">
        <v>13</v>
      </c>
      <c r="J10" s="70" t="s">
        <v>14</v>
      </c>
      <c r="K10" s="70" t="s">
        <v>15</v>
      </c>
      <c r="L10" s="70" t="s">
        <v>36</v>
      </c>
      <c r="M10" s="70" t="s">
        <v>16</v>
      </c>
      <c r="N10" s="70" t="s">
        <v>18</v>
      </c>
      <c r="O10" s="70" t="s">
        <v>19</v>
      </c>
      <c r="P10" s="70" t="s">
        <v>20</v>
      </c>
      <c r="Q10" s="70" t="s">
        <v>21</v>
      </c>
      <c r="R10" s="70" t="s">
        <v>22</v>
      </c>
      <c r="S10" s="70" t="s">
        <v>24</v>
      </c>
      <c r="T10" s="88" t="s">
        <v>37</v>
      </c>
      <c r="U10" s="88" t="s">
        <v>38</v>
      </c>
      <c r="V10" s="88" t="s">
        <v>39</v>
      </c>
      <c r="W10" s="88" t="s">
        <v>40</v>
      </c>
      <c r="X10" s="88" t="s">
        <v>41</v>
      </c>
      <c r="Y10" s="70" t="s">
        <v>25</v>
      </c>
      <c r="Z10" s="70" t="s">
        <v>26</v>
      </c>
      <c r="AA10" s="70" t="s">
        <v>27</v>
      </c>
    </row>
    <row r="11" spans="2:27" ht="15" customHeight="1">
      <c r="B11" s="64" t="s">
        <v>52</v>
      </c>
      <c r="C11" s="75" t="str">
        <f>IF(INDEX(Definitions,1,MATCH(tbl_Overview[[#This Row],[Field]],Headers,0))="Definition","",INDEX(Definitions,1,MATCH(tbl_Overview[[#This Row],[Field]],Headers,0)))</f>
        <v>Survival status (Target variable)</v>
      </c>
      <c r="D11" s="75" t="str">
        <f>IF(INDEX(Notes,1,MATCH(tbl_Overview[[#This Row],[Field]],Headers,0))="Note","",INDEX(Notes,1,MATCH(tbl_Overview[[#This Row],[Field]],Headers,0)))</f>
        <v>0 = No, 1 = Yes</v>
      </c>
      <c r="E11" s="65" t="s">
        <v>69</v>
      </c>
      <c r="F11" s="71">
        <v>2.24466891133557E-3</v>
      </c>
      <c r="G11" s="71">
        <v>0</v>
      </c>
      <c r="H11" s="71">
        <v>6.4727622749107802E-2</v>
      </c>
      <c r="I11" s="66">
        <v>7128</v>
      </c>
      <c r="J11" s="66">
        <v>2</v>
      </c>
      <c r="K11" s="66">
        <v>891</v>
      </c>
      <c r="L11" s="67">
        <v>1</v>
      </c>
      <c r="M11" s="66">
        <v>0</v>
      </c>
      <c r="N11" s="68">
        <v>0.38383838383838298</v>
      </c>
      <c r="O11" s="68">
        <v>0</v>
      </c>
      <c r="P11" s="68">
        <v>0</v>
      </c>
      <c r="Q11" s="68">
        <v>0.48659245426485698</v>
      </c>
      <c r="R11" s="68">
        <v>0.236772216547497</v>
      </c>
      <c r="S11" s="68">
        <v>0</v>
      </c>
      <c r="T11" s="68">
        <v>0</v>
      </c>
      <c r="U11" s="68">
        <v>0</v>
      </c>
      <c r="V11" s="68">
        <v>0</v>
      </c>
      <c r="W11" s="68">
        <v>1</v>
      </c>
      <c r="X11" s="68">
        <v>1</v>
      </c>
      <c r="Y11" s="68">
        <v>1</v>
      </c>
      <c r="Z11" s="68">
        <v>1</v>
      </c>
      <c r="AA11" s="68">
        <v>1</v>
      </c>
    </row>
    <row r="12" spans="2:27" ht="15" customHeight="1">
      <c r="B12" s="64" t="s">
        <v>53</v>
      </c>
      <c r="C12" s="75" t="str">
        <f>IF(INDEX(Definitions,1,MATCH(tbl_Overview[[#This Row],[Field]],Headers,0))="Definition","",INDEX(Definitions,1,MATCH(tbl_Overview[[#This Row],[Field]],Headers,0)))</f>
        <v>Ticket class (Proxy for socio-economic status)</v>
      </c>
      <c r="D12" s="75" t="str">
        <f>IF(INDEX(Notes,1,MATCH(tbl_Overview[[#This Row],[Field]],Headers,0))="Note","",INDEX(Notes,1,MATCH(tbl_Overview[[#This Row],[Field]],Headers,0)))</f>
        <v>1 = 1st Class (Upper), 2 = 2nd Class (Middle), 3 = 3rd Class (Lower)</v>
      </c>
      <c r="E12" s="65" t="s">
        <v>69</v>
      </c>
      <c r="F12" s="80">
        <v>3.3670033670033599E-3</v>
      </c>
      <c r="G12" s="80">
        <v>0</v>
      </c>
      <c r="H12" s="80">
        <v>6.4727622749107802E-2</v>
      </c>
      <c r="I12" s="66">
        <v>7128</v>
      </c>
      <c r="J12" s="66">
        <v>3</v>
      </c>
      <c r="K12" s="66">
        <v>891</v>
      </c>
      <c r="L12" s="67">
        <v>1</v>
      </c>
      <c r="M12" s="66">
        <v>0</v>
      </c>
      <c r="N12" s="68">
        <v>2.3086419753086398</v>
      </c>
      <c r="O12" s="68">
        <v>3</v>
      </c>
      <c r="P12" s="68">
        <v>3</v>
      </c>
      <c r="Q12" s="68">
        <v>0.83607124097704899</v>
      </c>
      <c r="R12" s="68">
        <v>0.69901511998890198</v>
      </c>
      <c r="S12" s="68">
        <v>1</v>
      </c>
      <c r="T12" s="68">
        <v>1</v>
      </c>
      <c r="U12" s="68">
        <v>2</v>
      </c>
      <c r="V12" s="68">
        <v>3</v>
      </c>
      <c r="W12" s="68">
        <v>3</v>
      </c>
      <c r="X12" s="68">
        <v>3</v>
      </c>
      <c r="Y12" s="68">
        <v>3</v>
      </c>
      <c r="Z12" s="68">
        <v>2</v>
      </c>
      <c r="AA12" s="68">
        <v>1</v>
      </c>
    </row>
    <row r="13" spans="2:27" ht="15" customHeight="1">
      <c r="B13" s="64" t="s">
        <v>54</v>
      </c>
      <c r="C13" s="75" t="str">
        <f>IF(INDEX(Definitions,1,MATCH(tbl_Overview[[#This Row],[Field]],Headers,0))="Definition","",INDEX(Definitions,1,MATCH(tbl_Overview[[#This Row],[Field]],Headers,0)))</f>
        <v>Gender</v>
      </c>
      <c r="D13" s="75" t="str">
        <f>IF(INDEX(Notes,1,MATCH(tbl_Overview[[#This Row],[Field]],Headers,0))="Note","",INDEX(Notes,1,MATCH(tbl_Overview[[#This Row],[Field]],Headers,0)))</f>
        <v>Male or Female</v>
      </c>
      <c r="E13" s="65" t="s">
        <v>70</v>
      </c>
      <c r="F13" s="80">
        <v>2.24466891133557E-3</v>
      </c>
      <c r="G13" s="80">
        <v>0</v>
      </c>
      <c r="H13" s="80">
        <v>0.103811192938804</v>
      </c>
      <c r="I13" s="66">
        <v>11432</v>
      </c>
      <c r="J13" s="66">
        <v>2</v>
      </c>
      <c r="K13" s="66">
        <v>891</v>
      </c>
      <c r="L13" s="67">
        <v>1</v>
      </c>
      <c r="M13" s="66">
        <v>0</v>
      </c>
      <c r="N13" s="68"/>
      <c r="O13" s="68"/>
      <c r="P13" s="68" t="s">
        <v>74</v>
      </c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2:27" ht="15" customHeight="1">
      <c r="B14" s="64" t="s">
        <v>55</v>
      </c>
      <c r="C14" s="75" t="str">
        <f>IF(INDEX(Definitions,1,MATCH(tbl_Overview[[#This Row],[Field]],Headers,0))="Definition","",INDEX(Definitions,1,MATCH(tbl_Overview[[#This Row],[Field]],Headers,0)))</f>
        <v>Age in years</v>
      </c>
      <c r="D14" s="75" t="str">
        <f>IF(INDEX(Notes,1,MATCH(tbl_Overview[[#This Row],[Field]],Headers,0))="Note","",INDEX(Notes,1,MATCH(tbl_Overview[[#This Row],[Field]],Headers,0)))</f>
        <v>Fractional values exist for infants; contains missing values</v>
      </c>
      <c r="E14" s="65" t="s">
        <v>71</v>
      </c>
      <c r="F14" s="80">
        <v>9.8765432098765399E-2</v>
      </c>
      <c r="G14" s="80">
        <v>0.198653198653198</v>
      </c>
      <c r="H14" s="80">
        <v>6.4727622749107802E-2</v>
      </c>
      <c r="I14" s="66">
        <v>7128</v>
      </c>
      <c r="J14" s="66">
        <v>88</v>
      </c>
      <c r="K14" s="66">
        <v>714</v>
      </c>
      <c r="L14" s="67">
        <v>0.80134680134680103</v>
      </c>
      <c r="M14" s="66">
        <v>177</v>
      </c>
      <c r="N14" s="68">
        <v>29.699117647058799</v>
      </c>
      <c r="O14" s="68">
        <v>28</v>
      </c>
      <c r="P14" s="68">
        <v>24</v>
      </c>
      <c r="Q14" s="68">
        <v>14.526497332333999</v>
      </c>
      <c r="R14" s="68">
        <v>211.01912474630799</v>
      </c>
      <c r="S14" s="68">
        <v>0.42</v>
      </c>
      <c r="T14" s="68">
        <v>4</v>
      </c>
      <c r="U14" s="68">
        <v>20.125</v>
      </c>
      <c r="V14" s="68">
        <v>28</v>
      </c>
      <c r="W14" s="68">
        <v>38</v>
      </c>
      <c r="X14" s="68">
        <v>56</v>
      </c>
      <c r="Y14" s="68">
        <v>80</v>
      </c>
      <c r="Z14" s="68">
        <v>79.58</v>
      </c>
      <c r="AA14" s="68">
        <v>17.875</v>
      </c>
    </row>
    <row r="15" spans="2:27" ht="15" customHeight="1">
      <c r="B15" s="64" t="s">
        <v>56</v>
      </c>
      <c r="C15" s="75" t="str">
        <f>IF(INDEX(Definitions,1,MATCH(tbl_Overview[[#This Row],[Field]],Headers,0))="Definition","",INDEX(Definitions,1,MATCH(tbl_Overview[[#This Row],[Field]],Headers,0)))</f>
        <v># of siblings/spouses aboard</v>
      </c>
      <c r="D15" s="75" t="str">
        <f>IF(INDEX(Notes,1,MATCH(tbl_Overview[[#This Row],[Field]],Headers,0))="Note","",INDEX(Notes,1,MATCH(tbl_Overview[[#This Row],[Field]],Headers,0)))</f>
        <v>Sibling: Brother, Sister, Stepbrother, Stepsister; Spouse: Husband, Wife</v>
      </c>
      <c r="E15" s="65" t="s">
        <v>69</v>
      </c>
      <c r="F15" s="80">
        <v>7.8563411896745202E-3</v>
      </c>
      <c r="G15" s="80">
        <v>0</v>
      </c>
      <c r="H15" s="80">
        <v>6.4727622749107802E-2</v>
      </c>
      <c r="I15" s="66">
        <v>7128</v>
      </c>
      <c r="J15" s="66">
        <v>7</v>
      </c>
      <c r="K15" s="66">
        <v>891</v>
      </c>
      <c r="L15" s="67">
        <v>1</v>
      </c>
      <c r="M15" s="66">
        <v>0</v>
      </c>
      <c r="N15" s="68">
        <v>0.52300785634118896</v>
      </c>
      <c r="O15" s="68">
        <v>0</v>
      </c>
      <c r="P15" s="68">
        <v>0</v>
      </c>
      <c r="Q15" s="68">
        <v>1.10274343229343</v>
      </c>
      <c r="R15" s="68">
        <v>1.21604307746629</v>
      </c>
      <c r="S15" s="68">
        <v>0</v>
      </c>
      <c r="T15" s="68">
        <v>0</v>
      </c>
      <c r="U15" s="68">
        <v>0</v>
      </c>
      <c r="V15" s="68">
        <v>0</v>
      </c>
      <c r="W15" s="68">
        <v>1</v>
      </c>
      <c r="X15" s="68">
        <v>3</v>
      </c>
      <c r="Y15" s="68">
        <v>8</v>
      </c>
      <c r="Z15" s="68">
        <v>8</v>
      </c>
      <c r="AA15" s="68">
        <v>1</v>
      </c>
    </row>
    <row r="16" spans="2:27" ht="15" customHeight="1">
      <c r="B16" s="64" t="s">
        <v>57</v>
      </c>
      <c r="C16" s="75" t="str">
        <f>IF(INDEX(Definitions,1,MATCH(tbl_Overview[[#This Row],[Field]],Headers,0))="Definition","",INDEX(Definitions,1,MATCH(tbl_Overview[[#This Row],[Field]],Headers,0)))</f>
        <v># of parents/children aboard</v>
      </c>
      <c r="D16" s="75" t="str">
        <f>IF(INDEX(Notes,1,MATCH(tbl_Overview[[#This Row],[Field]],Headers,0))="Note","",INDEX(Notes,1,MATCH(tbl_Overview[[#This Row],[Field]],Headers,0)))</f>
        <v>Parent: Mother, Father; Child: Daughter, Son, Stepdaughter, Stepson</v>
      </c>
      <c r="E16" s="65" t="s">
        <v>69</v>
      </c>
      <c r="F16" s="80">
        <v>7.8563411896745202E-3</v>
      </c>
      <c r="G16" s="80">
        <v>0</v>
      </c>
      <c r="H16" s="80">
        <v>6.4727622749107802E-2</v>
      </c>
      <c r="I16" s="66">
        <v>7128</v>
      </c>
      <c r="J16" s="66">
        <v>7</v>
      </c>
      <c r="K16" s="66">
        <v>891</v>
      </c>
      <c r="L16" s="67">
        <v>1</v>
      </c>
      <c r="M16" s="66">
        <v>0</v>
      </c>
      <c r="N16" s="68">
        <v>0.38159371492704802</v>
      </c>
      <c r="O16" s="68">
        <v>0</v>
      </c>
      <c r="P16" s="68">
        <v>0</v>
      </c>
      <c r="Q16" s="68">
        <v>0.80605722112994804</v>
      </c>
      <c r="R16" s="68">
        <v>0.64972824373573401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2</v>
      </c>
      <c r="Y16" s="68">
        <v>6</v>
      </c>
      <c r="Z16" s="68">
        <v>6</v>
      </c>
      <c r="AA16" s="68">
        <v>0</v>
      </c>
    </row>
    <row r="17" spans="2:27" ht="15" customHeight="1">
      <c r="B17" s="64" t="s">
        <v>58</v>
      </c>
      <c r="C17" s="75" t="str">
        <f>IF(INDEX(Definitions,1,MATCH(tbl_Overview[[#This Row],[Field]],Headers,0))="Definition","",INDEX(Definitions,1,MATCH(tbl_Overview[[#This Row],[Field]],Headers,0)))</f>
        <v>Passenger fare</v>
      </c>
      <c r="D17" s="75" t="str">
        <f>IF(INDEX(Notes,1,MATCH(tbl_Overview[[#This Row],[Field]],Headers,0))="Note","",INDEX(Notes,1,MATCH(tbl_Overview[[#This Row],[Field]],Headers,0)))</f>
        <v>British Pounds (\(£\)) paid for the ticket</v>
      </c>
      <c r="E17" s="65" t="s">
        <v>71</v>
      </c>
      <c r="F17" s="80">
        <v>0.27833894500561102</v>
      </c>
      <c r="G17" s="80">
        <v>0</v>
      </c>
      <c r="H17" s="80">
        <v>6.4727622749107802E-2</v>
      </c>
      <c r="I17" s="66">
        <v>7128</v>
      </c>
      <c r="J17" s="66">
        <v>248</v>
      </c>
      <c r="K17" s="66">
        <v>891</v>
      </c>
      <c r="L17" s="67">
        <v>1</v>
      </c>
      <c r="M17" s="66">
        <v>0</v>
      </c>
      <c r="N17" s="68">
        <v>32.2042079685746</v>
      </c>
      <c r="O17" s="68">
        <v>14.4542</v>
      </c>
      <c r="P17" s="68">
        <v>8.0500000000000007</v>
      </c>
      <c r="Q17" s="68">
        <v>49.693428597180898</v>
      </c>
      <c r="R17" s="68">
        <v>2469.4368457431101</v>
      </c>
      <c r="S17" s="68">
        <v>0</v>
      </c>
      <c r="T17" s="68">
        <v>7.2249999999999996</v>
      </c>
      <c r="U17" s="68">
        <v>7.9104000000000001</v>
      </c>
      <c r="V17" s="68">
        <v>14.4542</v>
      </c>
      <c r="W17" s="68">
        <v>31</v>
      </c>
      <c r="X17" s="68">
        <v>112.07915</v>
      </c>
      <c r="Y17" s="68">
        <v>512.32920000000001</v>
      </c>
      <c r="Z17" s="68">
        <v>512.32920000000001</v>
      </c>
      <c r="AA17" s="68">
        <v>23.089600000000001</v>
      </c>
    </row>
    <row r="18" spans="2:27" ht="15" customHeight="1">
      <c r="B18" s="64" t="s">
        <v>59</v>
      </c>
      <c r="C18" s="75" t="str">
        <f>IF(INDEX(Definitions,1,MATCH(tbl_Overview[[#This Row],[Field]],Headers,0))="Definition","",INDEX(Definitions,1,MATCH(tbl_Overview[[#This Row],[Field]],Headers,0)))</f>
        <v>Port of Embarkation</v>
      </c>
      <c r="D18" s="75" t="str">
        <f>IF(INDEX(Notes,1,MATCH(tbl_Overview[[#This Row],[Field]],Headers,0))="Note","",INDEX(Notes,1,MATCH(tbl_Overview[[#This Row],[Field]],Headers,0)))</f>
        <v>C = Cherbourg, Q = Queenstown, S = Southampton</v>
      </c>
      <c r="E18" s="65" t="s">
        <v>70</v>
      </c>
      <c r="F18" s="80">
        <v>3.3670033670033599E-3</v>
      </c>
      <c r="G18" s="80">
        <v>2.24466891133557E-3</v>
      </c>
      <c r="H18" s="80">
        <v>7.3817458659862098E-2</v>
      </c>
      <c r="I18" s="66">
        <v>8129</v>
      </c>
      <c r="J18" s="66">
        <v>3</v>
      </c>
      <c r="K18" s="66">
        <v>889</v>
      </c>
      <c r="L18" s="67">
        <v>0.99775533108866399</v>
      </c>
      <c r="M18" s="66">
        <v>2</v>
      </c>
      <c r="N18" s="68"/>
      <c r="O18" s="68"/>
      <c r="P18" s="68" t="s">
        <v>75</v>
      </c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spans="2:27" ht="15" customHeight="1">
      <c r="B19" s="64" t="s">
        <v>60</v>
      </c>
      <c r="C19" s="75" t="str">
        <f>IF(INDEX(Definitions,1,MATCH(tbl_Overview[[#This Row],[Field]],Headers,0))="Definition","",INDEX(Definitions,1,MATCH(tbl_Overview[[#This Row],[Field]],Headers,0)))</f>
        <v>Text passenger class</v>
      </c>
      <c r="D19" s="75" t="str">
        <f>IF(INDEX(Notes,1,MATCH(tbl_Overview[[#This Row],[Field]],Headers,0))="Note","",INDEX(Notes,1,MATCH(tbl_Overview[[#This Row],[Field]],Headers,0)))</f>
        <v>Notes</v>
      </c>
      <c r="E19" s="65" t="s">
        <v>72</v>
      </c>
      <c r="F19" s="80">
        <v>3.3670033670033599E-3</v>
      </c>
      <c r="G19" s="80">
        <v>0</v>
      </c>
      <c r="H19" s="80">
        <v>9.4349046066670907E-3</v>
      </c>
      <c r="I19" s="66">
        <v>1039</v>
      </c>
      <c r="J19" s="66">
        <v>3</v>
      </c>
      <c r="K19" s="66">
        <v>891</v>
      </c>
      <c r="L19" s="67">
        <v>1</v>
      </c>
      <c r="M19" s="66">
        <v>0</v>
      </c>
      <c r="N19" s="68"/>
      <c r="O19" s="68"/>
      <c r="P19" s="68" t="s">
        <v>76</v>
      </c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spans="2:27" ht="15" customHeight="1">
      <c r="B20" s="64" t="s">
        <v>61</v>
      </c>
      <c r="C20" s="75" t="str">
        <f>IF(INDEX(Definitions,1,MATCH(tbl_Overview[[#This Row],[Field]],Headers,0))="Definition","",INDEX(Definitions,1,MATCH(tbl_Overview[[#This Row],[Field]],Headers,0)))</f>
        <v>Type of person</v>
      </c>
      <c r="D20" s="75" t="str">
        <f>IF(INDEX(Notes,1,MATCH(tbl_Overview[[#This Row],[Field]],Headers,0))="Note","",INDEX(Notes,1,MATCH(tbl_Overview[[#This Row],[Field]],Headers,0)))</f>
        <v>Combined gender/age</v>
      </c>
      <c r="E20" s="65" t="s">
        <v>70</v>
      </c>
      <c r="F20" s="80">
        <v>3.3670033670033599E-3</v>
      </c>
      <c r="G20" s="80">
        <v>0</v>
      </c>
      <c r="H20" s="80">
        <v>9.6446700507614197E-2</v>
      </c>
      <c r="I20" s="66">
        <v>10621</v>
      </c>
      <c r="J20" s="66">
        <v>3</v>
      </c>
      <c r="K20" s="66">
        <v>891</v>
      </c>
      <c r="L20" s="67">
        <v>1</v>
      </c>
      <c r="M20" s="66">
        <v>0</v>
      </c>
      <c r="N20" s="68"/>
      <c r="O20" s="68"/>
      <c r="P20" s="68" t="s">
        <v>77</v>
      </c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2:27" ht="15" customHeight="1">
      <c r="B21" s="64" t="s">
        <v>62</v>
      </c>
      <c r="C21" s="75" t="str">
        <f>IF(INDEX(Definitions,1,MATCH(tbl_Overview[[#This Row],[Field]],Headers,0))="Definition","",INDEX(Definitions,1,MATCH(tbl_Overview[[#This Row],[Field]],Headers,0)))</f>
        <v>Was the passenger an adult</v>
      </c>
      <c r="D21" s="75" t="str">
        <f>IF(INDEX(Notes,1,MATCH(tbl_Overview[[#This Row],[Field]],Headers,0))="Note","",INDEX(Notes,1,MATCH(tbl_Overview[[#This Row],[Field]],Headers,0)))</f>
        <v>Age bucket</v>
      </c>
      <c r="E21" s="65" t="s">
        <v>73</v>
      </c>
      <c r="F21" s="80">
        <v>2.24466891133557E-3</v>
      </c>
      <c r="G21" s="80">
        <v>0</v>
      </c>
      <c r="H21" s="80">
        <v>8.0909528436384701E-3</v>
      </c>
      <c r="I21" s="66">
        <v>891</v>
      </c>
      <c r="J21" s="66">
        <v>2</v>
      </c>
      <c r="K21" s="66">
        <v>891</v>
      </c>
      <c r="L21" s="67">
        <v>1</v>
      </c>
      <c r="M21" s="66">
        <v>0</v>
      </c>
      <c r="N21" s="68"/>
      <c r="O21" s="68"/>
      <c r="P21" s="68" t="b">
        <v>1</v>
      </c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2:27" ht="15" customHeight="1">
      <c r="B22" s="64" t="s">
        <v>63</v>
      </c>
      <c r="C22" s="75" t="str">
        <f>IF(INDEX(Definitions,1,MATCH(tbl_Overview[[#This Row],[Field]],Headers,0))="Definition","",INDEX(Definitions,1,MATCH(tbl_Overview[[#This Row],[Field]],Headers,0)))</f>
        <v>Which deck they were on</v>
      </c>
      <c r="D22" s="75" t="str">
        <f>IF(INDEX(Notes,1,MATCH(tbl_Overview[[#This Row],[Field]],Headers,0))="Note","",INDEX(Notes,1,MATCH(tbl_Overview[[#This Row],[Field]],Headers,0)))</f>
        <v>Too sparse, Remove</v>
      </c>
      <c r="E22" s="65" t="s">
        <v>72</v>
      </c>
      <c r="F22" s="80">
        <v>7.8563411896745202E-3</v>
      </c>
      <c r="G22" s="80">
        <v>0.77216610549943798</v>
      </c>
      <c r="H22" s="80">
        <v>1.1387266965120799E-2</v>
      </c>
      <c r="I22" s="66">
        <v>1254</v>
      </c>
      <c r="J22" s="66">
        <v>7</v>
      </c>
      <c r="K22" s="66">
        <v>203</v>
      </c>
      <c r="L22" s="67">
        <v>0.22783389450056099</v>
      </c>
      <c r="M22" s="66">
        <v>688</v>
      </c>
      <c r="N22" s="68"/>
      <c r="O22" s="68"/>
      <c r="P22" s="68" t="s">
        <v>78</v>
      </c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2:27" ht="15" customHeight="1">
      <c r="B23" s="64" t="s">
        <v>64</v>
      </c>
      <c r="C23" s="75" t="str">
        <f>IF(INDEX(Definitions,1,MATCH(tbl_Overview[[#This Row],[Field]],Headers,0))="Definition","",INDEX(Definitions,1,MATCH(tbl_Overview[[#This Row],[Field]],Headers,0)))</f>
        <v>Unencoded town of embarcation</v>
      </c>
      <c r="D23" s="75" t="str">
        <f>IF(INDEX(Notes,1,MATCH(tbl_Overview[[#This Row],[Field]],Headers,0))="Note","",INDEX(Notes,1,MATCH(tbl_Overview[[#This Row],[Field]],Headers,0)))</f>
        <v>Unencoded town of embarcation</v>
      </c>
      <c r="E23" s="65" t="s">
        <v>70</v>
      </c>
      <c r="F23" s="80">
        <v>3.3670033670033599E-3</v>
      </c>
      <c r="G23" s="80">
        <v>2.24466891133557E-3</v>
      </c>
      <c r="H23" s="80">
        <v>0.150795020113872</v>
      </c>
      <c r="I23" s="66">
        <v>16606</v>
      </c>
      <c r="J23" s="66">
        <v>3</v>
      </c>
      <c r="K23" s="66">
        <v>889</v>
      </c>
      <c r="L23" s="67">
        <v>0.99775533108866399</v>
      </c>
      <c r="M23" s="66">
        <v>2</v>
      </c>
      <c r="N23" s="68"/>
      <c r="O23" s="68"/>
      <c r="P23" s="68" t="s">
        <v>79</v>
      </c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2:27" ht="15" customHeight="1">
      <c r="B24" s="64" t="s">
        <v>65</v>
      </c>
      <c r="C24" s="75" t="str">
        <f>IF(INDEX(Definitions,1,MATCH(tbl_Overview[[#This Row],[Field]],Headers,0))="Definition","",INDEX(Definitions,1,MATCH(tbl_Overview[[#This Row],[Field]],Headers,0)))</f>
        <v>Text version of alive</v>
      </c>
      <c r="D24" s="75" t="str">
        <f>IF(INDEX(Notes,1,MATCH(tbl_Overview[[#This Row],[Field]],Headers,0))="Note","",INDEX(Notes,1,MATCH(tbl_Overview[[#This Row],[Field]],Headers,0)))</f>
        <v>Unencoded target variable.  Redundant</v>
      </c>
      <c r="E24" s="65" t="s">
        <v>70</v>
      </c>
      <c r="F24" s="80">
        <v>2.24466891133557E-3</v>
      </c>
      <c r="G24" s="80">
        <v>0</v>
      </c>
      <c r="H24" s="80">
        <v>8.5032191277026603E-2</v>
      </c>
      <c r="I24" s="66">
        <v>9364</v>
      </c>
      <c r="J24" s="66">
        <v>2</v>
      </c>
      <c r="K24" s="66">
        <v>891</v>
      </c>
      <c r="L24" s="67">
        <v>1</v>
      </c>
      <c r="M24" s="66">
        <v>0</v>
      </c>
      <c r="N24" s="68"/>
      <c r="O24" s="68"/>
      <c r="P24" s="68" t="s">
        <v>80</v>
      </c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2:27" ht="15" customHeight="1">
      <c r="B25" s="81" t="s">
        <v>66</v>
      </c>
      <c r="C25" s="82" t="str">
        <f>IF(INDEX(Definitions,1,MATCH(tbl_Overview[[#This Row],[Field]],Headers,0))="Definition","",INDEX(Definitions,1,MATCH(tbl_Overview[[#This Row],[Field]],Headers,0)))</f>
        <v>Was the passenger alone</v>
      </c>
      <c r="D25" s="82" t="str">
        <f>IF(INDEX(Notes,1,MATCH(tbl_Overview[[#This Row],[Field]],Headers,0))="Note","",INDEX(Notes,1,MATCH(tbl_Overview[[#This Row],[Field]],Headers,0)))</f>
        <v>Notes</v>
      </c>
      <c r="E25" s="83" t="s">
        <v>73</v>
      </c>
      <c r="F25" s="84">
        <v>2.24466891133557E-3</v>
      </c>
      <c r="G25" s="84">
        <v>0</v>
      </c>
      <c r="H25" s="84">
        <v>8.0909528436384701E-3</v>
      </c>
      <c r="I25" s="85">
        <v>891</v>
      </c>
      <c r="J25" s="85">
        <v>2</v>
      </c>
      <c r="K25" s="85">
        <v>891</v>
      </c>
      <c r="L25" s="86">
        <v>1</v>
      </c>
      <c r="M25" s="85">
        <v>0</v>
      </c>
      <c r="N25" s="87"/>
      <c r="O25" s="87"/>
      <c r="P25" s="87" t="b">
        <v>1</v>
      </c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</row>
  </sheetData>
  <conditionalFormatting sqref="C7:C8">
    <cfRule type="colorScale" priority="3">
      <colorScale>
        <cfvo type="num" val="0"/>
        <cfvo type="num" val="0.2"/>
        <color theme="1" tint="-0.499984740745262"/>
        <color rgb="FF7A0000"/>
      </colorScale>
    </cfRule>
  </conditionalFormatting>
  <conditionalFormatting sqref="F11:H25">
    <cfRule type="colorScale" priority="1">
      <colorScale>
        <cfvo type="num" val="0"/>
        <cfvo type="num" val="0.2"/>
        <color rgb="FF000000"/>
        <color rgb="FF7A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7A1-2E8C-46FB-9CC1-AAEC654D73D4}">
  <sheetPr codeName="Sheet2"/>
  <dimension ref="A1:V972"/>
  <sheetViews>
    <sheetView tabSelected="1" zoomScale="85" zoomScaleNormal="85" workbookViewId="0">
      <pane xSplit="4" ySplit="11" topLeftCell="E12" activePane="bottomRight" state="frozen"/>
      <selection activeCell="A2" sqref="A2"/>
      <selection pane="topRight" activeCell="D2" sqref="D2"/>
      <selection pane="bottomLeft" activeCell="A12" sqref="A12"/>
      <selection pane="bottomRight" activeCell="E11" sqref="E11"/>
    </sheetView>
  </sheetViews>
  <sheetFormatPr defaultColWidth="15.77734375" defaultRowHeight="15" customHeight="1" outlineLevelRow="2"/>
  <cols>
    <col min="1" max="1" width="0.88671875" customWidth="1"/>
    <col min="2" max="2" width="3" style="48" customWidth="1"/>
    <col min="3" max="3" width="2.77734375" customWidth="1"/>
    <col min="4" max="4" width="25.77734375" customWidth="1"/>
    <col min="5" max="7" width="27.77734375" customWidth="1"/>
    <col min="8" max="19" width="27.77734375" style="48" customWidth="1"/>
  </cols>
  <sheetData>
    <row r="1" spans="1:22" ht="19.95" hidden="1" customHeight="1">
      <c r="A1" s="22"/>
      <c r="B1" s="22"/>
      <c r="C1" s="23"/>
      <c r="D1" s="23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2" ht="10.050000000000001" customHeight="1"/>
    <row r="3" spans="1:22" ht="36.6">
      <c r="B3" s="1" t="s">
        <v>1</v>
      </c>
      <c r="C3" s="31" t="s">
        <v>50</v>
      </c>
      <c r="D3" s="31"/>
    </row>
    <row r="4" spans="1:22" ht="10.050000000000001" customHeight="1"/>
    <row r="5" spans="1:22" ht="14.4">
      <c r="B5" s="32"/>
      <c r="C5" s="77" t="s">
        <v>1</v>
      </c>
      <c r="D5" s="2" t="s">
        <v>2</v>
      </c>
    </row>
    <row r="6" spans="1:22" ht="10.050000000000001" customHeight="1">
      <c r="B6" s="32"/>
      <c r="C6" s="32"/>
    </row>
    <row r="7" spans="1:22" ht="34.950000000000003" customHeight="1" outlineLevel="1">
      <c r="B7" s="32"/>
      <c r="C7" s="32"/>
      <c r="D7" s="30" t="s">
        <v>3</v>
      </c>
      <c r="E7" s="42" t="s">
        <v>112</v>
      </c>
      <c r="F7" s="43" t="s">
        <v>113</v>
      </c>
      <c r="G7" s="43" t="s">
        <v>114</v>
      </c>
      <c r="H7" s="43" t="s">
        <v>115</v>
      </c>
      <c r="I7" s="43" t="s">
        <v>116</v>
      </c>
      <c r="J7" s="43" t="s">
        <v>117</v>
      </c>
      <c r="K7" s="43" t="s">
        <v>118</v>
      </c>
      <c r="L7" s="43" t="s">
        <v>119</v>
      </c>
      <c r="M7" s="43" t="s">
        <v>120</v>
      </c>
      <c r="N7" s="43" t="s">
        <v>121</v>
      </c>
      <c r="O7" s="43" t="s">
        <v>122</v>
      </c>
      <c r="P7" s="43" t="s">
        <v>123</v>
      </c>
      <c r="Q7" s="43" t="s">
        <v>110</v>
      </c>
      <c r="R7" s="43" t="s">
        <v>124</v>
      </c>
      <c r="S7" s="43" t="s">
        <v>125</v>
      </c>
    </row>
    <row r="8" spans="1:22" ht="10.050000000000001" customHeight="1" outlineLevel="1">
      <c r="B8" s="32"/>
      <c r="C8" s="32"/>
    </row>
    <row r="9" spans="1:22" ht="34.950000000000003" customHeight="1" outlineLevel="1">
      <c r="D9" s="30" t="s">
        <v>4</v>
      </c>
      <c r="E9" s="44" t="s">
        <v>99</v>
      </c>
      <c r="F9" s="45" t="s">
        <v>100</v>
      </c>
      <c r="G9" s="46" t="s">
        <v>101</v>
      </c>
      <c r="H9" s="46" t="s">
        <v>102</v>
      </c>
      <c r="I9" s="46" t="s">
        <v>103</v>
      </c>
      <c r="J9" s="46" t="s">
        <v>104</v>
      </c>
      <c r="K9" s="46" t="s">
        <v>105</v>
      </c>
      <c r="L9" s="46" t="s">
        <v>106</v>
      </c>
      <c r="M9" s="46" t="s">
        <v>4</v>
      </c>
      <c r="N9" s="46" t="s">
        <v>107</v>
      </c>
      <c r="O9" s="46" t="s">
        <v>108</v>
      </c>
      <c r="P9" s="46" t="s">
        <v>109</v>
      </c>
      <c r="Q9" s="46" t="s">
        <v>110</v>
      </c>
      <c r="R9" s="46" t="s">
        <v>111</v>
      </c>
      <c r="S9" s="46" t="s">
        <v>4</v>
      </c>
    </row>
    <row r="10" spans="1:22" ht="10.050000000000001" customHeight="1" outlineLevel="1"/>
    <row r="11" spans="1:22" s="35" customFormat="1" ht="30" customHeight="1">
      <c r="A11"/>
      <c r="B11" s="48"/>
      <c r="C11" s="78"/>
      <c r="D11" s="78" t="s">
        <v>5</v>
      </c>
      <c r="E11" s="79" t="s">
        <v>52</v>
      </c>
      <c r="F11" s="79" t="s">
        <v>53</v>
      </c>
      <c r="G11" s="79" t="s">
        <v>54</v>
      </c>
      <c r="H11" s="79" t="s">
        <v>55</v>
      </c>
      <c r="I11" s="79" t="s">
        <v>56</v>
      </c>
      <c r="J11" s="79" t="s">
        <v>57</v>
      </c>
      <c r="K11" s="79" t="s">
        <v>58</v>
      </c>
      <c r="L11" s="79" t="s">
        <v>59</v>
      </c>
      <c r="M11" s="79" t="s">
        <v>60</v>
      </c>
      <c r="N11" s="79" t="s">
        <v>61</v>
      </c>
      <c r="O11" s="79" t="s">
        <v>62</v>
      </c>
      <c r="P11" s="79" t="s">
        <v>63</v>
      </c>
      <c r="Q11" s="79" t="s">
        <v>64</v>
      </c>
      <c r="R11" s="79" t="s">
        <v>65</v>
      </c>
      <c r="S11" s="79" t="s">
        <v>66</v>
      </c>
      <c r="T11" s="35" t="s">
        <v>67</v>
      </c>
      <c r="U11" s="35" t="s">
        <v>33</v>
      </c>
      <c r="V11" s="35" t="s">
        <v>68</v>
      </c>
    </row>
    <row r="12" spans="1:22" ht="10.050000000000001" customHeight="1"/>
    <row r="13" spans="1:22" ht="14.4" outlineLevel="1">
      <c r="B13" s="32"/>
      <c r="C13" s="77" t="s">
        <v>1</v>
      </c>
      <c r="D13" s="33" t="s">
        <v>6</v>
      </c>
    </row>
    <row r="14" spans="1:22" ht="10.050000000000001" customHeight="1" outlineLevel="1">
      <c r="B14" s="32"/>
      <c r="C14" s="32"/>
      <c r="D14" s="32"/>
    </row>
    <row r="15" spans="1:22" ht="34.950000000000003" customHeight="1" outlineLevel="2">
      <c r="B15" s="32"/>
      <c r="C15" s="32"/>
      <c r="D15" s="74"/>
      <c r="E15" s="108" t="s">
        <v>126</v>
      </c>
      <c r="F15" s="108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</row>
    <row r="16" spans="1:22" ht="14.4" outlineLevel="2">
      <c r="B16" s="32"/>
      <c r="C16" s="32"/>
      <c r="D16" s="32"/>
    </row>
    <row r="17" spans="2:19" ht="15" customHeight="1" outlineLevel="2">
      <c r="B17" s="32"/>
      <c r="C17" s="32"/>
      <c r="D17" s="34" t="s">
        <v>7</v>
      </c>
      <c r="E17" s="36">
        <v>891</v>
      </c>
    </row>
    <row r="18" spans="2:19" ht="15" customHeight="1" outlineLevel="2">
      <c r="B18" s="32"/>
      <c r="C18" s="32"/>
      <c r="D18" s="76" t="s">
        <v>47</v>
      </c>
      <c r="E18" s="37">
        <v>15</v>
      </c>
    </row>
    <row r="19" spans="2:19" s="48" customFormat="1" ht="15" customHeight="1" outlineLevel="2">
      <c r="B19" s="32"/>
      <c r="C19" s="32"/>
      <c r="D19" s="76" t="s">
        <v>13</v>
      </c>
      <c r="E19" s="37" t="s">
        <v>51</v>
      </c>
    </row>
    <row r="20" spans="2:19" s="48" customFormat="1" ht="15" customHeight="1" outlineLevel="2">
      <c r="B20" s="32"/>
      <c r="C20" s="32"/>
      <c r="D20" s="76" t="s">
        <v>48</v>
      </c>
      <c r="E20" s="72">
        <v>0.87991021324354657</v>
      </c>
    </row>
    <row r="21" spans="2:19" s="48" customFormat="1" ht="15" customHeight="1" outlineLevel="2">
      <c r="D21" s="3" t="s">
        <v>49</v>
      </c>
      <c r="E21" s="73">
        <v>6.5020576131687241E-2</v>
      </c>
    </row>
    <row r="22" spans="2:19" ht="10.050000000000001" customHeight="1" outlineLevel="2"/>
    <row r="23" spans="2:19" ht="14.4" outlineLevel="1">
      <c r="B23" s="32"/>
      <c r="C23" s="77" t="s">
        <v>1</v>
      </c>
      <c r="D23" s="2" t="s">
        <v>8</v>
      </c>
    </row>
    <row r="24" spans="2:19" ht="10.050000000000001" customHeight="1" outlineLevel="1">
      <c r="B24" s="32"/>
      <c r="C24" s="32"/>
    </row>
    <row r="25" spans="2:19" ht="15" hidden="1" customHeight="1" outlineLevel="2">
      <c r="B25" s="32"/>
      <c r="C25" s="32"/>
      <c r="D25" s="28" t="s">
        <v>9</v>
      </c>
      <c r="E25" s="18" t="s">
        <v>69</v>
      </c>
      <c r="F25" s="18" t="s">
        <v>69</v>
      </c>
      <c r="G25" s="18" t="s">
        <v>70</v>
      </c>
      <c r="H25" s="18" t="s">
        <v>71</v>
      </c>
      <c r="I25" s="18" t="s">
        <v>69</v>
      </c>
      <c r="J25" s="18" t="s">
        <v>69</v>
      </c>
      <c r="K25" s="18" t="s">
        <v>71</v>
      </c>
      <c r="L25" s="18" t="s">
        <v>70</v>
      </c>
      <c r="M25" s="18" t="s">
        <v>72</v>
      </c>
      <c r="N25" s="18" t="s">
        <v>70</v>
      </c>
      <c r="O25" s="18" t="s">
        <v>73</v>
      </c>
      <c r="P25" s="18" t="s">
        <v>72</v>
      </c>
      <c r="Q25" s="18" t="s">
        <v>70</v>
      </c>
      <c r="R25" s="18" t="s">
        <v>70</v>
      </c>
      <c r="S25" s="18" t="s">
        <v>73</v>
      </c>
    </row>
    <row r="26" spans="2:19" ht="15" hidden="1" customHeight="1" outlineLevel="2">
      <c r="B26" s="32"/>
      <c r="C26" s="32"/>
      <c r="D26" s="3" t="s">
        <v>10</v>
      </c>
      <c r="E26" s="19">
        <v>2.24466891133557E-3</v>
      </c>
      <c r="F26" s="19">
        <v>3.3670033670033599E-3</v>
      </c>
      <c r="G26" s="19">
        <v>2.24466891133557E-3</v>
      </c>
      <c r="H26" s="19">
        <v>9.8765432098765399E-2</v>
      </c>
      <c r="I26" s="19">
        <v>7.8563411896745202E-3</v>
      </c>
      <c r="J26" s="19">
        <v>7.8563411896745202E-3</v>
      </c>
      <c r="K26" s="19">
        <v>0.27833894500561102</v>
      </c>
      <c r="L26" s="19">
        <v>3.3670033670033599E-3</v>
      </c>
      <c r="M26" s="19">
        <v>3.3670033670033599E-3</v>
      </c>
      <c r="N26" s="19">
        <v>3.3670033670033599E-3</v>
      </c>
      <c r="O26" s="19">
        <v>2.24466891133557E-3</v>
      </c>
      <c r="P26" s="19">
        <v>7.8563411896745202E-3</v>
      </c>
      <c r="Q26" s="19">
        <v>3.3670033670033599E-3</v>
      </c>
      <c r="R26" s="19">
        <v>2.24466891133557E-3</v>
      </c>
      <c r="S26" s="19">
        <v>2.24466891133557E-3</v>
      </c>
    </row>
    <row r="27" spans="2:19" ht="15" hidden="1" customHeight="1" outlineLevel="2">
      <c r="B27" s="32"/>
      <c r="C27" s="32"/>
      <c r="D27" s="27" t="s">
        <v>11</v>
      </c>
      <c r="E27" s="19">
        <v>0</v>
      </c>
      <c r="F27" s="19">
        <v>0</v>
      </c>
      <c r="G27" s="19">
        <v>0</v>
      </c>
      <c r="H27" s="19">
        <v>0.198653198653198</v>
      </c>
      <c r="I27" s="19">
        <v>0</v>
      </c>
      <c r="J27" s="19">
        <v>0</v>
      </c>
      <c r="K27" s="19">
        <v>0</v>
      </c>
      <c r="L27" s="19">
        <v>2.24466891133557E-3</v>
      </c>
      <c r="M27" s="19">
        <v>0</v>
      </c>
      <c r="N27" s="19">
        <v>0</v>
      </c>
      <c r="O27" s="19">
        <v>0</v>
      </c>
      <c r="P27" s="19">
        <v>0.77216610549943798</v>
      </c>
      <c r="Q27" s="19">
        <v>2.24466891133557E-3</v>
      </c>
      <c r="R27" s="19">
        <v>0</v>
      </c>
      <c r="S27" s="19">
        <v>0</v>
      </c>
    </row>
    <row r="28" spans="2:19" ht="15" hidden="1" customHeight="1" outlineLevel="2">
      <c r="B28" s="32"/>
      <c r="C28" s="32"/>
      <c r="D28" s="27" t="s">
        <v>12</v>
      </c>
      <c r="E28" s="19">
        <v>6.4727622749107802E-2</v>
      </c>
      <c r="F28" s="19">
        <v>6.4727622749107802E-2</v>
      </c>
      <c r="G28" s="19">
        <v>0.103811192938804</v>
      </c>
      <c r="H28" s="19">
        <v>6.4727622749107802E-2</v>
      </c>
      <c r="I28" s="19">
        <v>6.4727622749107802E-2</v>
      </c>
      <c r="J28" s="19">
        <v>6.4727622749107802E-2</v>
      </c>
      <c r="K28" s="19">
        <v>6.4727622749107802E-2</v>
      </c>
      <c r="L28" s="19">
        <v>7.3817458659862098E-2</v>
      </c>
      <c r="M28" s="19">
        <v>9.4349046066670907E-3</v>
      </c>
      <c r="N28" s="19">
        <v>9.6446700507614197E-2</v>
      </c>
      <c r="O28" s="19">
        <v>8.0909528436384701E-3</v>
      </c>
      <c r="P28" s="19">
        <v>1.1387266965120799E-2</v>
      </c>
      <c r="Q28" s="19">
        <v>0.150795020113872</v>
      </c>
      <c r="R28" s="19">
        <v>8.5032191277026603E-2</v>
      </c>
      <c r="S28" s="19">
        <v>8.0909528436384701E-3</v>
      </c>
    </row>
    <row r="29" spans="2:19" ht="15" hidden="1" customHeight="1" outlineLevel="2">
      <c r="B29" s="32"/>
      <c r="C29" s="32"/>
      <c r="D29" s="27" t="s">
        <v>13</v>
      </c>
      <c r="E29" s="20">
        <v>7128</v>
      </c>
      <c r="F29" s="20">
        <v>7128</v>
      </c>
      <c r="G29" s="20">
        <v>11432</v>
      </c>
      <c r="H29" s="20">
        <v>7128</v>
      </c>
      <c r="I29" s="20">
        <v>7128</v>
      </c>
      <c r="J29" s="20">
        <v>7128</v>
      </c>
      <c r="K29" s="20">
        <v>7128</v>
      </c>
      <c r="L29" s="20">
        <v>8129</v>
      </c>
      <c r="M29" s="20">
        <v>1039</v>
      </c>
      <c r="N29" s="20">
        <v>10621</v>
      </c>
      <c r="O29" s="20">
        <v>891</v>
      </c>
      <c r="P29" s="20">
        <v>1254</v>
      </c>
      <c r="Q29" s="20">
        <v>16606</v>
      </c>
      <c r="R29" s="20">
        <v>9364</v>
      </c>
      <c r="S29" s="20">
        <v>891</v>
      </c>
    </row>
    <row r="30" spans="2:19" ht="15" hidden="1" customHeight="1" outlineLevel="2">
      <c r="B30" s="32"/>
      <c r="C30" s="32"/>
      <c r="D30" s="27" t="s">
        <v>14</v>
      </c>
      <c r="E30" s="20">
        <v>2</v>
      </c>
      <c r="F30" s="20">
        <v>3</v>
      </c>
      <c r="G30" s="20">
        <v>2</v>
      </c>
      <c r="H30" s="20">
        <v>88</v>
      </c>
      <c r="I30" s="20">
        <v>7</v>
      </c>
      <c r="J30" s="20">
        <v>7</v>
      </c>
      <c r="K30" s="20">
        <v>248</v>
      </c>
      <c r="L30" s="20">
        <v>3</v>
      </c>
      <c r="M30" s="20">
        <v>3</v>
      </c>
      <c r="N30" s="20">
        <v>3</v>
      </c>
      <c r="O30" s="20">
        <v>2</v>
      </c>
      <c r="P30" s="20">
        <v>7</v>
      </c>
      <c r="Q30" s="20">
        <v>3</v>
      </c>
      <c r="R30" s="20">
        <v>2</v>
      </c>
      <c r="S30" s="20">
        <v>2</v>
      </c>
    </row>
    <row r="31" spans="2:19" ht="15" hidden="1" customHeight="1" outlineLevel="2">
      <c r="B31" s="32"/>
      <c r="C31" s="32"/>
      <c r="D31" s="28" t="s">
        <v>15</v>
      </c>
      <c r="E31" s="20">
        <v>891</v>
      </c>
      <c r="F31" s="20">
        <v>891</v>
      </c>
      <c r="G31" s="20">
        <v>891</v>
      </c>
      <c r="H31" s="20">
        <v>714</v>
      </c>
      <c r="I31" s="20">
        <v>891</v>
      </c>
      <c r="J31" s="20">
        <v>891</v>
      </c>
      <c r="K31" s="20">
        <v>891</v>
      </c>
      <c r="L31" s="20">
        <v>889</v>
      </c>
      <c r="M31" s="20">
        <v>891</v>
      </c>
      <c r="N31" s="20">
        <v>891</v>
      </c>
      <c r="O31" s="20">
        <v>891</v>
      </c>
      <c r="P31" s="20">
        <v>203</v>
      </c>
      <c r="Q31" s="20">
        <v>889</v>
      </c>
      <c r="R31" s="20">
        <v>891</v>
      </c>
      <c r="S31" s="20">
        <v>891</v>
      </c>
    </row>
    <row r="32" spans="2:19" ht="15" hidden="1" customHeight="1" outlineLevel="2">
      <c r="B32" s="32"/>
      <c r="C32" s="32"/>
      <c r="D32" s="3" t="s">
        <v>16</v>
      </c>
      <c r="E32" s="20">
        <v>0</v>
      </c>
      <c r="F32" s="20">
        <v>0</v>
      </c>
      <c r="G32" s="20">
        <v>0</v>
      </c>
      <c r="H32" s="20">
        <v>177</v>
      </c>
      <c r="I32" s="20">
        <v>0</v>
      </c>
      <c r="J32" s="20">
        <v>0</v>
      </c>
      <c r="K32" s="20">
        <v>0</v>
      </c>
      <c r="L32" s="20">
        <v>2</v>
      </c>
      <c r="M32" s="20">
        <v>0</v>
      </c>
      <c r="N32" s="20">
        <v>0</v>
      </c>
      <c r="O32" s="20">
        <v>0</v>
      </c>
      <c r="P32" s="20">
        <v>688</v>
      </c>
      <c r="Q32" s="20">
        <v>2</v>
      </c>
      <c r="R32" s="20">
        <v>0</v>
      </c>
      <c r="S32" s="20">
        <v>0</v>
      </c>
    </row>
    <row r="33" spans="2:19" ht="10.050000000000001" hidden="1" customHeight="1" outlineLevel="2">
      <c r="B33" s="32"/>
      <c r="C33" s="32"/>
    </row>
    <row r="34" spans="2:19" ht="150" hidden="1" customHeight="1" outlineLevel="2"/>
    <row r="35" spans="2:19" ht="10.050000000000001" hidden="1" customHeight="1" outlineLevel="2"/>
    <row r="36" spans="2:19" ht="14.4" outlineLevel="1" collapsed="1">
      <c r="B36" s="32"/>
      <c r="C36" s="77" t="s">
        <v>1</v>
      </c>
      <c r="D36" s="2" t="s">
        <v>17</v>
      </c>
    </row>
    <row r="37" spans="2:19" ht="10.050000000000001" customHeight="1" outlineLevel="1">
      <c r="B37" s="32"/>
      <c r="C37" s="32"/>
    </row>
    <row r="38" spans="2:19" ht="15" hidden="1" customHeight="1" outlineLevel="2">
      <c r="B38" s="32"/>
      <c r="C38" s="32"/>
      <c r="D38" s="3" t="s">
        <v>18</v>
      </c>
      <c r="E38" s="21">
        <v>0.38383838383838298</v>
      </c>
      <c r="F38" s="21">
        <v>2.3086419753086398</v>
      </c>
      <c r="G38" s="21"/>
      <c r="H38" s="21">
        <v>29.699117647058799</v>
      </c>
      <c r="I38" s="21">
        <v>0.52300785634118896</v>
      </c>
      <c r="J38" s="21">
        <v>0.38159371492704802</v>
      </c>
      <c r="K38" s="21">
        <v>32.2042079685746</v>
      </c>
      <c r="L38" s="21"/>
      <c r="M38" s="21"/>
      <c r="N38" s="21"/>
      <c r="O38" s="21"/>
      <c r="P38" s="21"/>
      <c r="Q38" s="21"/>
      <c r="R38" s="21"/>
      <c r="S38" s="21"/>
    </row>
    <row r="39" spans="2:19" ht="15" hidden="1" customHeight="1" outlineLevel="2">
      <c r="B39" s="32"/>
      <c r="C39" s="32"/>
      <c r="D39" s="27" t="s">
        <v>19</v>
      </c>
      <c r="E39" s="21">
        <v>0</v>
      </c>
      <c r="F39" s="21">
        <v>3</v>
      </c>
      <c r="G39" s="21"/>
      <c r="H39" s="21">
        <v>28</v>
      </c>
      <c r="I39" s="21">
        <v>0</v>
      </c>
      <c r="J39" s="21">
        <v>0</v>
      </c>
      <c r="K39" s="21">
        <v>14.4542</v>
      </c>
      <c r="L39" s="21"/>
      <c r="M39" s="21"/>
      <c r="N39" s="21"/>
      <c r="O39" s="21"/>
      <c r="P39" s="21"/>
      <c r="Q39" s="21"/>
      <c r="R39" s="21"/>
      <c r="S39" s="21"/>
    </row>
    <row r="40" spans="2:19" ht="15" hidden="1" customHeight="1" outlineLevel="2">
      <c r="B40" s="32"/>
      <c r="C40" s="32"/>
      <c r="D40" s="27" t="s">
        <v>20</v>
      </c>
      <c r="E40" s="21">
        <v>0</v>
      </c>
      <c r="F40" s="21">
        <v>3</v>
      </c>
      <c r="G40" s="21" t="s">
        <v>74</v>
      </c>
      <c r="H40" s="21">
        <v>24</v>
      </c>
      <c r="I40" s="21">
        <v>0</v>
      </c>
      <c r="J40" s="21">
        <v>0</v>
      </c>
      <c r="K40" s="21">
        <v>8.0500000000000007</v>
      </c>
      <c r="L40" s="21" t="s">
        <v>75</v>
      </c>
      <c r="M40" s="21" t="s">
        <v>76</v>
      </c>
      <c r="N40" s="21" t="s">
        <v>77</v>
      </c>
      <c r="O40" s="21" t="b">
        <v>1</v>
      </c>
      <c r="P40" s="21" t="s">
        <v>78</v>
      </c>
      <c r="Q40" s="21" t="s">
        <v>79</v>
      </c>
      <c r="R40" s="21" t="s">
        <v>80</v>
      </c>
      <c r="S40" s="21" t="b">
        <v>1</v>
      </c>
    </row>
    <row r="41" spans="2:19" ht="15" hidden="1" customHeight="1" outlineLevel="2">
      <c r="B41" s="32"/>
      <c r="C41" s="32"/>
      <c r="D41" s="3" t="s">
        <v>21</v>
      </c>
      <c r="E41" s="21">
        <v>0.48659245426485698</v>
      </c>
      <c r="F41" s="21">
        <v>0.83607124097704899</v>
      </c>
      <c r="G41" s="21"/>
      <c r="H41" s="21">
        <v>14.526497332333999</v>
      </c>
      <c r="I41" s="21">
        <v>1.10274343229343</v>
      </c>
      <c r="J41" s="21">
        <v>0.80605722112994804</v>
      </c>
      <c r="K41" s="21">
        <v>49.693428597180898</v>
      </c>
      <c r="L41" s="21"/>
      <c r="M41" s="21"/>
      <c r="N41" s="21"/>
      <c r="O41" s="21"/>
      <c r="P41" s="21"/>
      <c r="Q41" s="21"/>
      <c r="R41" s="21"/>
      <c r="S41" s="21"/>
    </row>
    <row r="42" spans="2:19" ht="15" hidden="1" customHeight="1" outlineLevel="2">
      <c r="B42" s="32"/>
      <c r="C42" s="32"/>
      <c r="D42" s="29" t="s">
        <v>22</v>
      </c>
      <c r="E42" s="21">
        <v>0.236772216547497</v>
      </c>
      <c r="F42" s="21">
        <v>0.69901511998890198</v>
      </c>
      <c r="G42" s="21"/>
      <c r="H42" s="21">
        <v>211.01912474630799</v>
      </c>
      <c r="I42" s="21">
        <v>1.21604307746629</v>
      </c>
      <c r="J42" s="21">
        <v>0.64972824373573401</v>
      </c>
      <c r="K42" s="21">
        <v>2469.4368457431101</v>
      </c>
      <c r="L42" s="21"/>
      <c r="M42" s="21"/>
      <c r="N42" s="21"/>
      <c r="O42" s="21"/>
      <c r="P42" s="21"/>
      <c r="Q42" s="21"/>
      <c r="R42" s="21"/>
      <c r="S42" s="21"/>
    </row>
    <row r="43" spans="2:19" ht="10.050000000000001" hidden="1" customHeight="1" outlineLevel="2">
      <c r="B43" s="32"/>
      <c r="C43" s="32"/>
    </row>
    <row r="44" spans="2:19" ht="150" hidden="1" customHeight="1" outlineLevel="2"/>
    <row r="45" spans="2:19" ht="10.050000000000001" hidden="1" customHeight="1" outlineLevel="2"/>
    <row r="46" spans="2:19" ht="14.4" outlineLevel="1" collapsed="1">
      <c r="B46" s="32"/>
      <c r="C46" s="77" t="s">
        <v>1</v>
      </c>
      <c r="D46" s="2" t="s">
        <v>23</v>
      </c>
    </row>
    <row r="47" spans="2:19" ht="10.050000000000001" customHeight="1" outlineLevel="1">
      <c r="B47" s="32"/>
      <c r="C47" s="32"/>
    </row>
    <row r="48" spans="2:19" ht="15" hidden="1" customHeight="1" outlineLevel="2">
      <c r="B48" s="32"/>
      <c r="C48" s="32"/>
      <c r="D48" s="3" t="s">
        <v>24</v>
      </c>
      <c r="E48" s="21">
        <v>0</v>
      </c>
      <c r="F48" s="21">
        <v>1</v>
      </c>
      <c r="G48" s="21"/>
      <c r="H48" s="21">
        <v>0.42</v>
      </c>
      <c r="I48" s="21">
        <v>0</v>
      </c>
      <c r="J48" s="21">
        <v>0</v>
      </c>
      <c r="K48" s="21">
        <v>0</v>
      </c>
      <c r="L48" s="21"/>
      <c r="M48" s="21"/>
      <c r="N48" s="21"/>
      <c r="O48" s="21"/>
      <c r="P48" s="21"/>
      <c r="Q48" s="21"/>
      <c r="R48" s="21"/>
      <c r="S48" s="21"/>
    </row>
    <row r="49" spans="1:20" ht="15" hidden="1" customHeight="1" outlineLevel="2">
      <c r="B49" s="32"/>
      <c r="C49" s="32"/>
      <c r="D49" s="27">
        <v>0.05</v>
      </c>
      <c r="E49" s="21">
        <v>0</v>
      </c>
      <c r="F49" s="21">
        <v>1</v>
      </c>
      <c r="G49" s="21"/>
      <c r="H49" s="21">
        <v>4</v>
      </c>
      <c r="I49" s="21">
        <v>0</v>
      </c>
      <c r="J49" s="21">
        <v>0</v>
      </c>
      <c r="K49" s="21">
        <v>7.2249999999999996</v>
      </c>
      <c r="L49" s="21"/>
      <c r="M49" s="21"/>
      <c r="N49" s="21"/>
      <c r="O49" s="21"/>
      <c r="P49" s="21"/>
      <c r="Q49" s="21"/>
      <c r="R49" s="21"/>
      <c r="S49" s="21"/>
    </row>
    <row r="50" spans="1:20" ht="15" hidden="1" customHeight="1" outlineLevel="2">
      <c r="B50" s="32"/>
      <c r="C50" s="32"/>
      <c r="D50" s="28">
        <v>0.25</v>
      </c>
      <c r="E50" s="21">
        <v>0</v>
      </c>
      <c r="F50" s="21">
        <v>2</v>
      </c>
      <c r="G50" s="21"/>
      <c r="H50" s="21">
        <v>20.125</v>
      </c>
      <c r="I50" s="21">
        <v>0</v>
      </c>
      <c r="J50" s="21">
        <v>0</v>
      </c>
      <c r="K50" s="21">
        <v>7.9104000000000001</v>
      </c>
      <c r="L50" s="21"/>
      <c r="M50" s="21"/>
      <c r="N50" s="21"/>
      <c r="O50" s="21"/>
      <c r="P50" s="21"/>
      <c r="Q50" s="21"/>
      <c r="R50" s="21"/>
      <c r="S50" s="21"/>
    </row>
    <row r="51" spans="1:20" ht="15" hidden="1" customHeight="1" outlineLevel="2">
      <c r="B51" s="32"/>
      <c r="C51" s="32"/>
      <c r="D51" s="3">
        <v>0.5</v>
      </c>
      <c r="E51" s="21">
        <v>0</v>
      </c>
      <c r="F51" s="21">
        <v>3</v>
      </c>
      <c r="G51" s="21"/>
      <c r="H51" s="21">
        <v>28</v>
      </c>
      <c r="I51" s="21">
        <v>0</v>
      </c>
      <c r="J51" s="21">
        <v>0</v>
      </c>
      <c r="K51" s="21">
        <v>14.4542</v>
      </c>
      <c r="L51" s="21"/>
      <c r="M51" s="21"/>
      <c r="N51" s="21"/>
      <c r="O51" s="21"/>
      <c r="P51" s="21"/>
      <c r="Q51" s="21"/>
      <c r="R51" s="21"/>
      <c r="S51" s="21"/>
    </row>
    <row r="52" spans="1:20" ht="15" hidden="1" customHeight="1" outlineLevel="2">
      <c r="B52" s="32"/>
      <c r="C52" s="32"/>
      <c r="D52" s="27">
        <v>0.75</v>
      </c>
      <c r="E52" s="21">
        <v>1</v>
      </c>
      <c r="F52" s="21">
        <v>3</v>
      </c>
      <c r="G52" s="21"/>
      <c r="H52" s="21">
        <v>38</v>
      </c>
      <c r="I52" s="21">
        <v>1</v>
      </c>
      <c r="J52" s="21">
        <v>0</v>
      </c>
      <c r="K52" s="21">
        <v>31</v>
      </c>
      <c r="L52" s="21"/>
      <c r="M52" s="21"/>
      <c r="N52" s="21"/>
      <c r="O52" s="21"/>
      <c r="P52" s="21"/>
      <c r="Q52" s="21"/>
      <c r="R52" s="21"/>
      <c r="S52" s="21"/>
    </row>
    <row r="53" spans="1:20" ht="15" hidden="1" customHeight="1" outlineLevel="2">
      <c r="B53" s="32"/>
      <c r="C53" s="32"/>
      <c r="D53" s="27">
        <v>0.95</v>
      </c>
      <c r="E53" s="21">
        <v>1</v>
      </c>
      <c r="F53" s="21">
        <v>3</v>
      </c>
      <c r="G53" s="21"/>
      <c r="H53" s="21">
        <v>56</v>
      </c>
      <c r="I53" s="21">
        <v>3</v>
      </c>
      <c r="J53" s="21">
        <v>2</v>
      </c>
      <c r="K53" s="21">
        <v>112.07915</v>
      </c>
      <c r="L53" s="21"/>
      <c r="M53" s="21"/>
      <c r="N53" s="21"/>
      <c r="O53" s="21"/>
      <c r="P53" s="21"/>
      <c r="Q53" s="21"/>
      <c r="R53" s="21"/>
      <c r="S53" s="21"/>
    </row>
    <row r="54" spans="1:20" ht="15" hidden="1" customHeight="1" outlineLevel="2">
      <c r="B54" s="32"/>
      <c r="C54" s="32"/>
      <c r="D54" s="3" t="s">
        <v>25</v>
      </c>
      <c r="E54" s="21">
        <v>1</v>
      </c>
      <c r="F54" s="21">
        <v>3</v>
      </c>
      <c r="G54" s="21"/>
      <c r="H54" s="21">
        <v>80</v>
      </c>
      <c r="I54" s="21">
        <v>8</v>
      </c>
      <c r="J54" s="21">
        <v>6</v>
      </c>
      <c r="K54" s="21">
        <v>512.32920000000001</v>
      </c>
      <c r="L54" s="21"/>
      <c r="M54" s="21"/>
      <c r="N54" s="21"/>
      <c r="O54" s="21"/>
      <c r="P54" s="21"/>
      <c r="Q54" s="21"/>
      <c r="R54" s="21"/>
      <c r="S54" s="21"/>
    </row>
    <row r="55" spans="1:20" ht="15" hidden="1" customHeight="1" outlineLevel="2">
      <c r="B55" s="32"/>
      <c r="C55" s="32"/>
      <c r="D55" s="27" t="s">
        <v>26</v>
      </c>
      <c r="E55" s="21">
        <v>1</v>
      </c>
      <c r="F55" s="21">
        <v>2</v>
      </c>
      <c r="G55" s="21"/>
      <c r="H55" s="21">
        <v>79.58</v>
      </c>
      <c r="I55" s="21">
        <v>8</v>
      </c>
      <c r="J55" s="21">
        <v>6</v>
      </c>
      <c r="K55" s="21">
        <v>512.32920000000001</v>
      </c>
      <c r="L55" s="21"/>
      <c r="M55" s="21"/>
      <c r="N55" s="21"/>
      <c r="O55" s="21"/>
      <c r="P55" s="21"/>
      <c r="Q55" s="21"/>
      <c r="R55" s="21"/>
      <c r="S55" s="21"/>
    </row>
    <row r="56" spans="1:20" ht="15" hidden="1" customHeight="1" outlineLevel="2">
      <c r="D56" s="3" t="s">
        <v>27</v>
      </c>
      <c r="E56" s="21">
        <v>1</v>
      </c>
      <c r="F56" s="21">
        <v>1</v>
      </c>
      <c r="G56" s="21"/>
      <c r="H56" s="21">
        <v>17.875</v>
      </c>
      <c r="I56" s="21">
        <v>1</v>
      </c>
      <c r="J56" s="21">
        <v>0</v>
      </c>
      <c r="K56" s="21">
        <v>23.089600000000001</v>
      </c>
      <c r="L56" s="21"/>
      <c r="M56" s="21"/>
      <c r="N56" s="21"/>
      <c r="O56" s="21"/>
      <c r="P56" s="21"/>
      <c r="Q56" s="21"/>
      <c r="R56" s="21"/>
      <c r="S56" s="21"/>
    </row>
    <row r="57" spans="1:20" ht="10.050000000000001" hidden="1" customHeight="1" outlineLevel="2"/>
    <row r="58" spans="1:20" ht="14.4" outlineLevel="1" collapsed="1">
      <c r="A58" s="32"/>
      <c r="B58" s="32"/>
      <c r="C58" s="77" t="s">
        <v>1</v>
      </c>
      <c r="D58" s="2" t="s">
        <v>28</v>
      </c>
    </row>
    <row r="59" spans="1:20" ht="10.050000000000001" customHeight="1" outlineLevel="1">
      <c r="A59" s="32"/>
      <c r="B59" s="32"/>
      <c r="C59" s="32"/>
    </row>
    <row r="60" spans="1:20" ht="15" customHeight="1" outlineLevel="2">
      <c r="A60" s="32"/>
      <c r="B60" s="32"/>
      <c r="C60" s="32"/>
      <c r="D60" s="3" t="s">
        <v>127</v>
      </c>
      <c r="E60" s="63" t="b">
        <v>0</v>
      </c>
      <c r="F60" s="63" t="b">
        <v>0</v>
      </c>
      <c r="G60" s="63" t="b">
        <v>0</v>
      </c>
      <c r="H60" s="63" t="b">
        <v>0</v>
      </c>
      <c r="I60" s="63">
        <v>1</v>
      </c>
      <c r="J60" s="63" t="b">
        <v>0</v>
      </c>
      <c r="K60" s="63" t="b">
        <v>0</v>
      </c>
      <c r="L60" s="63">
        <v>1</v>
      </c>
      <c r="M60" s="63">
        <v>1</v>
      </c>
      <c r="N60" s="63" t="b">
        <v>0</v>
      </c>
      <c r="O60" s="63" t="b">
        <v>0</v>
      </c>
      <c r="P60" s="63">
        <v>1</v>
      </c>
      <c r="Q60" s="63" t="b">
        <v>0</v>
      </c>
      <c r="R60" s="63">
        <v>1</v>
      </c>
      <c r="S60" s="63">
        <v>1</v>
      </c>
      <c r="T60" t="b">
        <v>0</v>
      </c>
    </row>
    <row r="61" spans="1:20" ht="15" customHeight="1" outlineLevel="2">
      <c r="A61" s="32"/>
      <c r="B61" s="32"/>
      <c r="C61" s="32"/>
      <c r="D61" s="27" t="s">
        <v>128</v>
      </c>
      <c r="E61" s="63" t="b">
        <v>0</v>
      </c>
      <c r="F61" s="63">
        <v>1</v>
      </c>
      <c r="G61" s="63" t="b">
        <v>0</v>
      </c>
      <c r="H61" s="63" t="b">
        <v>0</v>
      </c>
      <c r="I61" s="63" t="b">
        <v>0</v>
      </c>
      <c r="J61" s="63">
        <v>1</v>
      </c>
      <c r="K61" s="63" t="b">
        <v>0</v>
      </c>
      <c r="L61" s="63" t="b">
        <v>0</v>
      </c>
      <c r="M61" s="63" t="b">
        <v>0</v>
      </c>
      <c r="N61" s="63" t="b">
        <v>0</v>
      </c>
      <c r="O61" s="63" t="b">
        <v>0</v>
      </c>
      <c r="P61" s="63" t="b">
        <v>0</v>
      </c>
      <c r="Q61" s="63" t="b">
        <v>0</v>
      </c>
      <c r="R61" s="63" t="b">
        <v>0</v>
      </c>
      <c r="S61" s="63" t="b">
        <v>0</v>
      </c>
      <c r="T61" t="b">
        <v>0</v>
      </c>
    </row>
    <row r="62" spans="1:20" ht="15" customHeight="1" outlineLevel="2">
      <c r="A62" s="32"/>
      <c r="B62" s="32"/>
      <c r="C62" s="32"/>
      <c r="D62" s="27" t="s">
        <v>129</v>
      </c>
      <c r="E62" s="63" t="b">
        <v>0</v>
      </c>
      <c r="F62" s="63" t="b">
        <v>0</v>
      </c>
      <c r="G62" s="63">
        <v>1</v>
      </c>
      <c r="H62" s="63" t="b">
        <v>0</v>
      </c>
      <c r="I62" s="63" t="b">
        <v>0</v>
      </c>
      <c r="J62" s="63" t="b">
        <v>0</v>
      </c>
      <c r="K62" s="63" t="b">
        <v>0</v>
      </c>
      <c r="L62" s="63" t="b">
        <v>0</v>
      </c>
      <c r="M62" s="63" t="b">
        <v>0</v>
      </c>
      <c r="N62" s="63">
        <v>1</v>
      </c>
      <c r="O62" s="63">
        <v>1</v>
      </c>
      <c r="P62" s="63" t="b">
        <v>0</v>
      </c>
      <c r="Q62" s="63">
        <v>1</v>
      </c>
      <c r="R62" s="63" t="b">
        <v>0</v>
      </c>
      <c r="S62" s="63" t="b">
        <v>0</v>
      </c>
      <c r="T62" t="b">
        <v>0</v>
      </c>
    </row>
    <row r="63" spans="1:20" ht="15" customHeight="1" outlineLevel="2">
      <c r="A63" s="32"/>
      <c r="B63" s="32"/>
      <c r="C63" s="32"/>
      <c r="D63" s="27" t="s">
        <v>130</v>
      </c>
      <c r="E63" s="63">
        <v>1</v>
      </c>
      <c r="F63" s="63" t="b">
        <v>0</v>
      </c>
      <c r="G63" s="63" t="b">
        <v>0</v>
      </c>
      <c r="H63" s="63" t="b">
        <v>0</v>
      </c>
      <c r="I63" s="63" t="b">
        <v>0</v>
      </c>
      <c r="J63" s="63" t="b">
        <v>0</v>
      </c>
      <c r="K63" s="63" t="b">
        <v>0</v>
      </c>
      <c r="L63" s="63" t="b">
        <v>0</v>
      </c>
      <c r="M63" s="63" t="b">
        <v>0</v>
      </c>
      <c r="N63" s="63" t="b">
        <v>0</v>
      </c>
      <c r="O63" s="63" t="b">
        <v>0</v>
      </c>
      <c r="P63" s="63" t="b">
        <v>0</v>
      </c>
      <c r="Q63" s="63" t="b">
        <v>0</v>
      </c>
      <c r="R63" s="63" t="b">
        <v>0</v>
      </c>
      <c r="S63" s="63" t="b">
        <v>0</v>
      </c>
      <c r="T63" t="b">
        <v>0</v>
      </c>
    </row>
    <row r="64" spans="1:20" ht="15" customHeight="1" outlineLevel="2">
      <c r="A64" s="32"/>
      <c r="B64" s="32"/>
      <c r="C64" s="32"/>
      <c r="D64" s="3" t="s">
        <v>131</v>
      </c>
      <c r="E64" s="63" t="b">
        <v>0</v>
      </c>
      <c r="F64" s="63">
        <v>1</v>
      </c>
      <c r="G64" s="63" t="b">
        <v>0</v>
      </c>
      <c r="H64" s="63" t="b">
        <v>0</v>
      </c>
      <c r="I64" s="63" t="b">
        <v>0</v>
      </c>
      <c r="J64" s="63" t="b">
        <v>0</v>
      </c>
      <c r="K64" s="63" t="b">
        <v>0</v>
      </c>
      <c r="L64" s="63" t="b">
        <v>0</v>
      </c>
      <c r="M64" s="63" t="b">
        <v>0</v>
      </c>
      <c r="N64" s="63" t="b">
        <v>0</v>
      </c>
      <c r="O64" s="63" t="b">
        <v>0</v>
      </c>
      <c r="P64" s="63" t="b">
        <v>0</v>
      </c>
      <c r="Q64" s="63" t="b">
        <v>0</v>
      </c>
      <c r="R64" s="63" t="b">
        <v>0</v>
      </c>
      <c r="S64" s="63" t="b">
        <v>0</v>
      </c>
      <c r="T64" t="b">
        <v>0</v>
      </c>
    </row>
    <row r="65" spans="1:20" ht="15" customHeight="1" outlineLevel="2">
      <c r="A65" s="32"/>
      <c r="B65" s="32"/>
      <c r="C65" s="32"/>
      <c r="D65" s="27" t="s">
        <v>132</v>
      </c>
      <c r="E65" s="63" t="b">
        <v>0</v>
      </c>
      <c r="F65" s="63" t="b">
        <v>0</v>
      </c>
      <c r="G65" s="63" t="b">
        <v>0</v>
      </c>
      <c r="H65" s="63">
        <v>1</v>
      </c>
      <c r="I65" s="63" t="b">
        <v>0</v>
      </c>
      <c r="J65" s="63" t="b">
        <v>0</v>
      </c>
      <c r="K65" s="63" t="b">
        <v>0</v>
      </c>
      <c r="L65" s="63" t="b">
        <v>0</v>
      </c>
      <c r="M65" s="63" t="b">
        <v>0</v>
      </c>
      <c r="N65" s="63" t="b">
        <v>0</v>
      </c>
      <c r="O65" s="63" t="b">
        <v>0</v>
      </c>
      <c r="P65" s="63" t="b">
        <v>0</v>
      </c>
      <c r="Q65" s="63" t="b">
        <v>0</v>
      </c>
      <c r="R65" s="63" t="b">
        <v>0</v>
      </c>
      <c r="S65" s="63" t="b">
        <v>0</v>
      </c>
      <c r="T65" t="b">
        <v>0</v>
      </c>
    </row>
    <row r="66" spans="1:20" ht="15" customHeight="1" outlineLevel="2">
      <c r="A66" s="32"/>
      <c r="B66" s="32"/>
      <c r="C66" s="32"/>
      <c r="D66" s="27" t="s">
        <v>29</v>
      </c>
      <c r="E66" s="63" t="b">
        <v>0</v>
      </c>
      <c r="F66" s="63" t="b">
        <v>0</v>
      </c>
      <c r="G66" s="63" t="b">
        <v>0</v>
      </c>
      <c r="H66" s="63" t="b">
        <v>0</v>
      </c>
      <c r="I66" s="63" t="b">
        <v>0</v>
      </c>
      <c r="J66" s="63" t="b">
        <v>0</v>
      </c>
      <c r="K66" s="63" t="b">
        <v>0</v>
      </c>
      <c r="L66" s="63" t="b">
        <v>0</v>
      </c>
      <c r="M66" s="63" t="b">
        <v>0</v>
      </c>
      <c r="N66" s="63" t="b">
        <v>0</v>
      </c>
      <c r="O66" s="63" t="b">
        <v>0</v>
      </c>
      <c r="P66" s="63" t="b">
        <v>0</v>
      </c>
      <c r="Q66" s="63" t="b">
        <v>0</v>
      </c>
      <c r="R66" s="63" t="b">
        <v>0</v>
      </c>
      <c r="S66" s="63" t="b">
        <v>0</v>
      </c>
      <c r="T66" t="b">
        <v>0</v>
      </c>
    </row>
    <row r="67" spans="1:20" ht="15" customHeight="1" outlineLevel="2">
      <c r="D67" s="3" t="s">
        <v>30</v>
      </c>
      <c r="E67" s="63" t="b">
        <v>0</v>
      </c>
      <c r="F67" s="63" t="b">
        <v>0</v>
      </c>
      <c r="G67" s="63" t="b">
        <v>0</v>
      </c>
      <c r="H67" s="63" t="b">
        <v>0</v>
      </c>
      <c r="I67" s="63" t="b">
        <v>0</v>
      </c>
      <c r="J67" s="63" t="b">
        <v>0</v>
      </c>
      <c r="K67" s="63" t="b">
        <v>0</v>
      </c>
      <c r="L67" s="63" t="b">
        <v>0</v>
      </c>
      <c r="M67" s="63" t="b">
        <v>0</v>
      </c>
      <c r="N67" s="63" t="b">
        <v>0</v>
      </c>
      <c r="O67" s="63" t="b">
        <v>0</v>
      </c>
      <c r="P67" s="63" t="b">
        <v>0</v>
      </c>
      <c r="Q67" s="63" t="b">
        <v>0</v>
      </c>
      <c r="R67" s="63" t="b">
        <v>0</v>
      </c>
      <c r="S67" s="63" t="b">
        <v>0</v>
      </c>
      <c r="T67" t="b">
        <v>0</v>
      </c>
    </row>
    <row r="68" spans="1:20" ht="10.050000000000001" customHeight="1" outlineLevel="2"/>
    <row r="69" spans="1:20" ht="14.4" outlineLevel="1">
      <c r="A69" s="32"/>
      <c r="B69" s="32"/>
      <c r="C69" s="77" t="s">
        <v>1</v>
      </c>
      <c r="D69" s="2" t="s">
        <v>31</v>
      </c>
    </row>
    <row r="70" spans="1:20" ht="15" customHeight="1" outlineLevel="1">
      <c r="A70" s="32"/>
      <c r="B70" s="32"/>
    </row>
    <row r="71" spans="1:20" ht="15" customHeight="1" outlineLevel="1">
      <c r="A71" s="32"/>
      <c r="B71" s="32"/>
      <c r="D71" s="3" t="str">
        <f>IF(COUNTIF(FieldList1, "&lt;&gt;FALSE") = 0,"",SUBSTITUTE(LOWER(D60)," ","_") &amp;" = ")</f>
        <v xml:space="preserve">fields_to_delete = </v>
      </c>
      <c r="E71" t="str">
        <f>IF(COUNTIF(FieldList1, "&lt;&gt;FALSE") = 0,"","['"&amp;_xlfn.TEXTJOIN("', '", TRUE, _xlfn._xlws.FILTER(FieldRange,FieldList1&lt;&gt; FALSE, ""))&amp;"']")</f>
        <v>['sibsp', 'embarked', 'class', 'deck', 'alive', 'alone']</v>
      </c>
    </row>
    <row r="72" spans="1:20" ht="15" customHeight="1" outlineLevel="2">
      <c r="A72" s="32"/>
      <c r="B72" s="32"/>
      <c r="D72" s="26" t="str">
        <f>IF(COUNTIF(FieldList2, "&lt;&gt;FALSE") = 0,"",SUBSTITUTE(LOWER(D61)," ","_")&amp;" = ")</f>
        <v xml:space="preserve">fields_to_rename = </v>
      </c>
      <c r="E72" t="str">
        <f>IF(COUNTIF(FieldList2, "&lt;&gt;FALSE") = 0,"","['"&amp;_xlfn.TEXTJOIN("', '", TRUE, _xlfn._xlws.FILTER(FieldRange,FieldList2&lt;&gt; FALSE, ""))&amp;"']")</f>
        <v>['pclass', 'parch']</v>
      </c>
    </row>
    <row r="73" spans="1:20" ht="15" customHeight="1" outlineLevel="2">
      <c r="A73" s="32"/>
      <c r="B73" s="32"/>
      <c r="D73" s="26" t="str">
        <f>IF(COUNTIF(FieldList3, "&lt;&gt;FALSE") = 0,"",SUBSTITUTE(LOWER(D62)," ","_")&amp;" = ")</f>
        <v xml:space="preserve">fields_to_encode = </v>
      </c>
      <c r="E73" t="str">
        <f>IF(COUNTIF(FieldList3, "&lt;&gt;FALSE") = 0,"","['"&amp;_xlfn.TEXTJOIN("', '", TRUE, _xlfn._xlws.FILTER(FieldRange,FieldList3&lt;&gt; FALSE, ""))&amp;"']")</f>
        <v>['sex', 'who', 'adult_male', 'embark_town']</v>
      </c>
    </row>
    <row r="74" spans="1:20" ht="15" customHeight="1" outlineLevel="2">
      <c r="A74" s="32"/>
      <c r="B74" s="32"/>
      <c r="D74" s="26" t="str">
        <f>IF(COUNTIF(FieldList4, "&lt;&gt;FALSE") = 0,"",SUBSTITUTE(LOWER(D63)," ","_")&amp;" = ")</f>
        <v xml:space="preserve">target_fields = </v>
      </c>
      <c r="E74" t="str">
        <f>IF(COUNTIF(FieldList4, "&lt;&gt;FALSE") = 0,"","['"&amp;_xlfn.TEXTJOIN("', '", TRUE, _xlfn._xlws.FILTER(FieldRange,FieldList4&lt;&gt; FALSE, ""))&amp;"']")</f>
        <v>['survived']</v>
      </c>
    </row>
    <row r="75" spans="1:20" ht="15" customHeight="1" outlineLevel="2">
      <c r="A75" s="32"/>
      <c r="B75" s="32"/>
      <c r="D75" s="26" t="str">
        <f>IF(COUNTIF(FieldList5, "&lt;&gt;FALSE") = 0,"",SUBSTITUTE(LOWER(D64)," ","_")&amp;" = ")</f>
        <v xml:space="preserve">ordinal_encode = </v>
      </c>
      <c r="E75" t="str">
        <f>IF(COUNTIF(FieldList5, "&lt;&gt;FALSE") = 0,"","['"&amp;_xlfn.TEXTJOIN("', '", TRUE, _xlfn._xlws.FILTER(FieldRange,FieldList5&lt;&gt; FALSE, ""))&amp;"']")</f>
        <v>['pclass']</v>
      </c>
    </row>
    <row r="76" spans="1:20" ht="15" customHeight="1" outlineLevel="2">
      <c r="A76" s="32"/>
      <c r="B76" s="32"/>
      <c r="D76" s="26" t="str">
        <f>IF(COUNTIF(FieldList6, "&lt;&gt;FALSE") = 0,"",SUBSTITUTE(LOWER(D65)," ","_")&amp;" = ")</f>
        <v xml:space="preserve">fields_to_impute = </v>
      </c>
      <c r="E76" t="str">
        <f>IF(COUNTIF(FieldList6, "&lt;&gt;FALSE") = 0,"","['"&amp;_xlfn.TEXTJOIN("', '", TRUE, _xlfn._xlws.FILTER(FieldRange,FieldList6&lt;&gt; FALSE, ""))&amp;"']")</f>
        <v>['age']</v>
      </c>
    </row>
    <row r="77" spans="1:20" ht="15" customHeight="1" outlineLevel="2">
      <c r="A77" s="32"/>
      <c r="B77" s="32"/>
      <c r="D77" s="25" t="str">
        <f>IF(COUNTIF(FieldList7, "&lt;&gt;FALSE") = 0,"",SUBSTITUTE(LOWER(D66)," ","_")&amp;" = ")</f>
        <v/>
      </c>
      <c r="E77" t="str" cm="1">
        <f t="array" ref="E77">IF(COUNTIF(FieldList7, "&lt;&gt;FALSE") = 0,"","['"&amp;_xlfn.TEXTJOIN("', '", TRUE, _xlfn._xlws.FILTER(FieldRange,FieldList7&lt;&gt; FALSE, ""))&amp;"']")</f>
        <v/>
      </c>
    </row>
    <row r="78" spans="1:20" ht="15" customHeight="1" outlineLevel="2">
      <c r="A78" s="32"/>
      <c r="B78" s="32"/>
      <c r="D78" s="3" t="str">
        <f>IF(COUNTIF(FieldList8, "&lt;&gt;FALSE") = 0,"",SUBSTITUTE(LOWER(D67)," ","_")&amp;" = ")</f>
        <v/>
      </c>
      <c r="E78" t="str" cm="1">
        <f t="array" ref="E78">IF(COUNTIF(FieldList8, "&lt;&gt;FALSE") = 0,"","['"&amp;_xlfn.TEXTJOIN("', '", TRUE, _xlfn._xlws.FILTER(FieldRange,FieldList8&lt;&gt; FALSE, ""))&amp;"']")</f>
        <v/>
      </c>
    </row>
    <row r="79" spans="1:20" ht="15" customHeight="1" outlineLevel="2">
      <c r="D79" s="24" t="str">
        <f>IF(COUNTIF(tbl_SourceData[Record List], "&lt;&gt;FALSE") = 0,"",SUBSTITUTE(LOWER(LightHeader)," ", "_") &amp;" = ")</f>
        <v xml:space="preserve">record_list = </v>
      </c>
      <c r="E79" t="str" cm="1">
        <f t="array" ref="E79">IF(COUNTIF(tbl_SourceData[Record List], "&lt;&gt;FALSE") = 0,"","['"&amp;_xlfn.TEXTJOIN("', '", TRUE, _xlfn._xlws.FILTER(_xlfn.TAKE(tbl_SourceData[],,-1), tbl_SourceData[Record List] &lt;&gt; FALSE, ""))&amp;"']")</f>
        <v>['9565247157844240000', '11371252001038500000', '10851088529769800000', '2169063888202480000', '10134960570067800000', '16511284644064300000', '10405753658146900000', '12880392928732800000', '794987368356615000', '2456329033019020000', '116866172390226000', '13864969107360400000', '16171225861486300000', '6586245138368870000', '15464666660360900000', '12067606696561300000', '15464666660360900000', '16901868587164500000', '6361495628260860000', '6342462814121710000', '10993062757497600000', '11491115995266500000', '15500444332341800000', '7238238841740810000', '17585130779568000000']</v>
      </c>
    </row>
    <row r="80" spans="1:20" ht="10.050000000000001" customHeight="1" outlineLevel="1"/>
    <row r="81" spans="4:22" ht="30" customHeight="1">
      <c r="D81" s="96" t="s">
        <v>32</v>
      </c>
      <c r="E81" s="89" t="s">
        <v>52</v>
      </c>
      <c r="F81" s="89" t="s">
        <v>53</v>
      </c>
      <c r="G81" s="89" t="s">
        <v>54</v>
      </c>
      <c r="H81" s="90" t="s">
        <v>55</v>
      </c>
      <c r="I81" s="90" t="s">
        <v>56</v>
      </c>
      <c r="J81" s="90" t="s">
        <v>57</v>
      </c>
      <c r="K81" s="90" t="s">
        <v>58</v>
      </c>
      <c r="L81" s="90" t="s">
        <v>59</v>
      </c>
      <c r="M81" s="90" t="s">
        <v>60</v>
      </c>
      <c r="N81" s="90" t="s">
        <v>61</v>
      </c>
      <c r="O81" s="90" t="s">
        <v>62</v>
      </c>
      <c r="P81" s="90" t="s">
        <v>63</v>
      </c>
      <c r="Q81" s="90" t="s">
        <v>64</v>
      </c>
      <c r="R81" s="90" t="s">
        <v>65</v>
      </c>
      <c r="S81" s="90" t="s">
        <v>66</v>
      </c>
      <c r="T81" s="96" t="s">
        <v>33</v>
      </c>
      <c r="U81" s="96" t="s">
        <v>68</v>
      </c>
      <c r="V81" s="96"/>
    </row>
    <row r="82" spans="4:22" ht="15" customHeight="1">
      <c r="D82" s="97" t="s">
        <v>98</v>
      </c>
      <c r="E82" s="91">
        <v>0</v>
      </c>
      <c r="F82" s="91">
        <v>3</v>
      </c>
      <c r="G82" s="91" t="s">
        <v>74</v>
      </c>
      <c r="H82" s="92">
        <v>28.5</v>
      </c>
      <c r="I82" s="92">
        <v>0</v>
      </c>
      <c r="J82" s="92">
        <v>0</v>
      </c>
      <c r="K82" s="92">
        <v>7.2291999999999996</v>
      </c>
      <c r="L82" s="92" t="s">
        <v>78</v>
      </c>
      <c r="M82" s="92" t="s">
        <v>76</v>
      </c>
      <c r="N82" s="92" t="s">
        <v>77</v>
      </c>
      <c r="O82" s="92" t="b">
        <v>1</v>
      </c>
      <c r="P82" s="92"/>
      <c r="Q82" s="92" t="s">
        <v>84</v>
      </c>
      <c r="R82" s="92" t="s">
        <v>80</v>
      </c>
      <c r="S82" s="92" t="b">
        <v>1</v>
      </c>
      <c r="T82" s="100">
        <v>1</v>
      </c>
      <c r="U82" s="100">
        <v>9.5652471578442445E+18</v>
      </c>
      <c r="V82" s="100"/>
    </row>
    <row r="83" spans="4:22" ht="15" customHeight="1">
      <c r="D83" s="97" t="s">
        <v>98</v>
      </c>
      <c r="E83" s="91">
        <v>1</v>
      </c>
      <c r="F83" s="91">
        <v>2</v>
      </c>
      <c r="G83" s="91" t="s">
        <v>74</v>
      </c>
      <c r="H83" s="92">
        <v>0.83</v>
      </c>
      <c r="I83" s="92">
        <v>0</v>
      </c>
      <c r="J83" s="92">
        <v>2</v>
      </c>
      <c r="K83" s="92">
        <v>29</v>
      </c>
      <c r="L83" s="92" t="s">
        <v>75</v>
      </c>
      <c r="M83" s="92" t="s">
        <v>90</v>
      </c>
      <c r="N83" s="92" t="s">
        <v>89</v>
      </c>
      <c r="O83" s="92" t="b">
        <v>0</v>
      </c>
      <c r="P83" s="92"/>
      <c r="Q83" s="92" t="s">
        <v>79</v>
      </c>
      <c r="R83" s="92" t="s">
        <v>85</v>
      </c>
      <c r="S83" s="92" t="b">
        <v>0</v>
      </c>
      <c r="T83" s="100">
        <v>1</v>
      </c>
      <c r="U83" s="100">
        <v>1.1371252001038473E+19</v>
      </c>
      <c r="V83" s="100"/>
    </row>
    <row r="84" spans="4:22" ht="15" customHeight="1">
      <c r="D84" s="98" t="s">
        <v>98</v>
      </c>
      <c r="E84" s="93">
        <v>0</v>
      </c>
      <c r="F84" s="91">
        <v>3</v>
      </c>
      <c r="G84" s="91" t="s">
        <v>81</v>
      </c>
      <c r="H84" s="92">
        <v>14.5</v>
      </c>
      <c r="I84" s="92">
        <v>1</v>
      </c>
      <c r="J84" s="92">
        <v>0</v>
      </c>
      <c r="K84" s="92">
        <v>14.4542</v>
      </c>
      <c r="L84" s="92" t="s">
        <v>78</v>
      </c>
      <c r="M84" s="92" t="s">
        <v>76</v>
      </c>
      <c r="N84" s="92" t="s">
        <v>89</v>
      </c>
      <c r="O84" s="92" t="b">
        <v>0</v>
      </c>
      <c r="P84" s="92"/>
      <c r="Q84" s="92" t="s">
        <v>84</v>
      </c>
      <c r="R84" s="92" t="s">
        <v>80</v>
      </c>
      <c r="S84" s="92" t="b">
        <v>0</v>
      </c>
      <c r="T84" s="100">
        <v>1</v>
      </c>
      <c r="U84" s="100">
        <v>1.0851088529769798E+19</v>
      </c>
      <c r="V84" s="100"/>
    </row>
    <row r="85" spans="4:22" ht="15" customHeight="1">
      <c r="D85" s="98" t="s">
        <v>98</v>
      </c>
      <c r="E85" s="93">
        <v>0</v>
      </c>
      <c r="F85" s="91">
        <v>3</v>
      </c>
      <c r="G85" s="91" t="s">
        <v>74</v>
      </c>
      <c r="H85" s="92">
        <v>70.5</v>
      </c>
      <c r="I85" s="92">
        <v>0</v>
      </c>
      <c r="J85" s="92">
        <v>0</v>
      </c>
      <c r="K85" s="92">
        <v>7.75</v>
      </c>
      <c r="L85" s="92" t="s">
        <v>86</v>
      </c>
      <c r="M85" s="92" t="s">
        <v>76</v>
      </c>
      <c r="N85" s="92" t="s">
        <v>77</v>
      </c>
      <c r="O85" s="92" t="b">
        <v>1</v>
      </c>
      <c r="P85" s="92"/>
      <c r="Q85" s="92" t="s">
        <v>87</v>
      </c>
      <c r="R85" s="92" t="s">
        <v>80</v>
      </c>
      <c r="S85" s="92" t="b">
        <v>1</v>
      </c>
      <c r="T85" s="100">
        <v>1</v>
      </c>
      <c r="U85" s="100">
        <v>2.1690638882024819E+18</v>
      </c>
      <c r="V85" s="100"/>
    </row>
    <row r="86" spans="4:22" ht="15" customHeight="1">
      <c r="D86" s="98" t="s">
        <v>98</v>
      </c>
      <c r="E86" s="93">
        <v>0</v>
      </c>
      <c r="F86" s="91">
        <v>2</v>
      </c>
      <c r="G86" s="91" t="s">
        <v>74</v>
      </c>
      <c r="H86" s="92">
        <v>32.5</v>
      </c>
      <c r="I86" s="92">
        <v>1</v>
      </c>
      <c r="J86" s="92">
        <v>0</v>
      </c>
      <c r="K86" s="92">
        <v>30.070799999999998</v>
      </c>
      <c r="L86" s="92" t="s">
        <v>78</v>
      </c>
      <c r="M86" s="92" t="s">
        <v>90</v>
      </c>
      <c r="N86" s="92" t="s">
        <v>77</v>
      </c>
      <c r="O86" s="92" t="b">
        <v>1</v>
      </c>
      <c r="P86" s="92"/>
      <c r="Q86" s="92" t="s">
        <v>84</v>
      </c>
      <c r="R86" s="92" t="s">
        <v>80</v>
      </c>
      <c r="S86" s="92" t="b">
        <v>0</v>
      </c>
      <c r="T86" s="100">
        <v>1</v>
      </c>
      <c r="U86" s="100">
        <v>1.0134960570067829E+19</v>
      </c>
      <c r="V86" s="100"/>
    </row>
    <row r="87" spans="4:22" ht="15" customHeight="1">
      <c r="D87" s="98" t="s">
        <v>98</v>
      </c>
      <c r="E87" s="93">
        <v>1</v>
      </c>
      <c r="F87" s="91">
        <v>2</v>
      </c>
      <c r="G87" s="91" t="s">
        <v>81</v>
      </c>
      <c r="H87" s="92">
        <v>32.5</v>
      </c>
      <c r="I87" s="92">
        <v>0</v>
      </c>
      <c r="J87" s="92">
        <v>0</v>
      </c>
      <c r="K87" s="92">
        <v>13</v>
      </c>
      <c r="L87" s="92" t="s">
        <v>75</v>
      </c>
      <c r="M87" s="92" t="s">
        <v>90</v>
      </c>
      <c r="N87" s="92" t="s">
        <v>83</v>
      </c>
      <c r="O87" s="92" t="b">
        <v>0</v>
      </c>
      <c r="P87" s="92" t="s">
        <v>88</v>
      </c>
      <c r="Q87" s="92" t="s">
        <v>79</v>
      </c>
      <c r="R87" s="92" t="s">
        <v>85</v>
      </c>
      <c r="S87" s="92" t="b">
        <v>1</v>
      </c>
      <c r="T87" s="100">
        <v>0</v>
      </c>
      <c r="U87" s="100">
        <v>1.6511284644064301E+19</v>
      </c>
      <c r="V87" s="100"/>
    </row>
    <row r="88" spans="4:22" ht="15" customHeight="1">
      <c r="D88" s="98" t="s">
        <v>98</v>
      </c>
      <c r="E88" s="93">
        <v>0</v>
      </c>
      <c r="F88" s="91">
        <v>2</v>
      </c>
      <c r="G88" s="91" t="s">
        <v>74</v>
      </c>
      <c r="H88" s="92">
        <v>36.5</v>
      </c>
      <c r="I88" s="92">
        <v>0</v>
      </c>
      <c r="J88" s="92">
        <v>2</v>
      </c>
      <c r="K88" s="92">
        <v>26</v>
      </c>
      <c r="L88" s="92" t="s">
        <v>75</v>
      </c>
      <c r="M88" s="92" t="s">
        <v>90</v>
      </c>
      <c r="N88" s="92" t="s">
        <v>77</v>
      </c>
      <c r="O88" s="92" t="b">
        <v>1</v>
      </c>
      <c r="P88" s="92" t="s">
        <v>95</v>
      </c>
      <c r="Q88" s="92" t="s">
        <v>79</v>
      </c>
      <c r="R88" s="92" t="s">
        <v>80</v>
      </c>
      <c r="S88" s="92" t="b">
        <v>0</v>
      </c>
      <c r="T88" s="100">
        <v>0</v>
      </c>
      <c r="U88" s="100">
        <v>1.0405753658146904E+19</v>
      </c>
      <c r="V88" s="100"/>
    </row>
    <row r="89" spans="4:22" ht="15" customHeight="1">
      <c r="D89" s="98" t="s">
        <v>98</v>
      </c>
      <c r="E89" s="93">
        <v>0</v>
      </c>
      <c r="F89" s="91">
        <v>3</v>
      </c>
      <c r="G89" s="91" t="s">
        <v>74</v>
      </c>
      <c r="H89" s="92">
        <v>55.5</v>
      </c>
      <c r="I89" s="92">
        <v>0</v>
      </c>
      <c r="J89" s="92">
        <v>0</v>
      </c>
      <c r="K89" s="92">
        <v>8.0500000000000007</v>
      </c>
      <c r="L89" s="92" t="s">
        <v>75</v>
      </c>
      <c r="M89" s="92" t="s">
        <v>76</v>
      </c>
      <c r="N89" s="92" t="s">
        <v>77</v>
      </c>
      <c r="O89" s="92" t="b">
        <v>1</v>
      </c>
      <c r="P89" s="92"/>
      <c r="Q89" s="92" t="s">
        <v>79</v>
      </c>
      <c r="R89" s="92" t="s">
        <v>80</v>
      </c>
      <c r="S89" s="92" t="b">
        <v>1</v>
      </c>
      <c r="T89" s="100">
        <v>1</v>
      </c>
      <c r="U89" s="100">
        <v>1.2880392928732842E+19</v>
      </c>
      <c r="V89" s="100"/>
    </row>
    <row r="90" spans="4:22" ht="15" customHeight="1">
      <c r="D90" s="98" t="s">
        <v>98</v>
      </c>
      <c r="E90" s="93">
        <v>0</v>
      </c>
      <c r="F90" s="91">
        <v>3</v>
      </c>
      <c r="G90" s="91" t="s">
        <v>74</v>
      </c>
      <c r="H90" s="92">
        <v>40.5</v>
      </c>
      <c r="I90" s="92">
        <v>0</v>
      </c>
      <c r="J90" s="92">
        <v>2</v>
      </c>
      <c r="K90" s="92">
        <v>14.5</v>
      </c>
      <c r="L90" s="92" t="s">
        <v>75</v>
      </c>
      <c r="M90" s="92" t="s">
        <v>76</v>
      </c>
      <c r="N90" s="92" t="s">
        <v>77</v>
      </c>
      <c r="O90" s="92" t="b">
        <v>1</v>
      </c>
      <c r="P90" s="92"/>
      <c r="Q90" s="92" t="s">
        <v>79</v>
      </c>
      <c r="R90" s="92" t="s">
        <v>80</v>
      </c>
      <c r="S90" s="92" t="b">
        <v>0</v>
      </c>
      <c r="T90" s="100">
        <v>1</v>
      </c>
      <c r="U90" s="100">
        <v>7.949873683566153E+17</v>
      </c>
      <c r="V90" s="100"/>
    </row>
    <row r="91" spans="4:22" ht="15" customHeight="1">
      <c r="D91" s="98" t="s">
        <v>98</v>
      </c>
      <c r="E91" s="93">
        <v>0</v>
      </c>
      <c r="F91" s="91">
        <v>3</v>
      </c>
      <c r="G91" s="91" t="s">
        <v>74</v>
      </c>
      <c r="H91" s="92">
        <v>45.5</v>
      </c>
      <c r="I91" s="92">
        <v>0</v>
      </c>
      <c r="J91" s="92">
        <v>0</v>
      </c>
      <c r="K91" s="92">
        <v>7.2249999999999996</v>
      </c>
      <c r="L91" s="92" t="s">
        <v>78</v>
      </c>
      <c r="M91" s="92" t="s">
        <v>76</v>
      </c>
      <c r="N91" s="92" t="s">
        <v>77</v>
      </c>
      <c r="O91" s="92" t="b">
        <v>1</v>
      </c>
      <c r="P91" s="92"/>
      <c r="Q91" s="92" t="s">
        <v>84</v>
      </c>
      <c r="R91" s="92" t="s">
        <v>80</v>
      </c>
      <c r="S91" s="92" t="b">
        <v>1</v>
      </c>
      <c r="T91" s="100">
        <v>1</v>
      </c>
      <c r="U91" s="100">
        <v>2.4563290330190228E+18</v>
      </c>
      <c r="V91" s="100"/>
    </row>
    <row r="92" spans="4:22" ht="15" customHeight="1">
      <c r="D92" s="98" t="s">
        <v>98</v>
      </c>
      <c r="E92" s="93">
        <v>0</v>
      </c>
      <c r="F92" s="91">
        <v>3</v>
      </c>
      <c r="G92" s="91" t="s">
        <v>74</v>
      </c>
      <c r="H92" s="92">
        <v>20.5</v>
      </c>
      <c r="I92" s="92">
        <v>0</v>
      </c>
      <c r="J92" s="92">
        <v>0</v>
      </c>
      <c r="K92" s="92">
        <v>7.25</v>
      </c>
      <c r="L92" s="92" t="s">
        <v>75</v>
      </c>
      <c r="M92" s="92" t="s">
        <v>76</v>
      </c>
      <c r="N92" s="92" t="s">
        <v>77</v>
      </c>
      <c r="O92" s="92" t="b">
        <v>1</v>
      </c>
      <c r="P92" s="92"/>
      <c r="Q92" s="92" t="s">
        <v>79</v>
      </c>
      <c r="R92" s="92" t="s">
        <v>80</v>
      </c>
      <c r="S92" s="92" t="b">
        <v>1</v>
      </c>
      <c r="T92" s="100">
        <v>1</v>
      </c>
      <c r="U92" s="100">
        <v>1.168661723902256E+17</v>
      </c>
      <c r="V92" s="100"/>
    </row>
    <row r="93" spans="4:22" ht="15" customHeight="1">
      <c r="D93" s="98" t="s">
        <v>98</v>
      </c>
      <c r="E93" s="93">
        <v>0</v>
      </c>
      <c r="F93" s="91">
        <v>3</v>
      </c>
      <c r="G93" s="91" t="s">
        <v>74</v>
      </c>
      <c r="H93" s="92">
        <v>23.5</v>
      </c>
      <c r="I93" s="92">
        <v>0</v>
      </c>
      <c r="J93" s="92">
        <v>0</v>
      </c>
      <c r="K93" s="92">
        <v>7.2291999999999996</v>
      </c>
      <c r="L93" s="92" t="s">
        <v>78</v>
      </c>
      <c r="M93" s="92" t="s">
        <v>76</v>
      </c>
      <c r="N93" s="92" t="s">
        <v>77</v>
      </c>
      <c r="O93" s="92" t="b">
        <v>1</v>
      </c>
      <c r="P93" s="92"/>
      <c r="Q93" s="92" t="s">
        <v>84</v>
      </c>
      <c r="R93" s="92" t="s">
        <v>80</v>
      </c>
      <c r="S93" s="92" t="b">
        <v>1</v>
      </c>
      <c r="T93" s="100">
        <v>1</v>
      </c>
      <c r="U93" s="100">
        <v>1.3864969107360356E+19</v>
      </c>
      <c r="V93" s="100"/>
    </row>
    <row r="94" spans="4:22" ht="15" customHeight="1">
      <c r="D94" s="98" t="s">
        <v>98</v>
      </c>
      <c r="E94" s="93">
        <v>1</v>
      </c>
      <c r="F94" s="91">
        <v>1</v>
      </c>
      <c r="G94" s="91" t="s">
        <v>74</v>
      </c>
      <c r="H94" s="92">
        <v>0.92</v>
      </c>
      <c r="I94" s="92">
        <v>1</v>
      </c>
      <c r="J94" s="92">
        <v>2</v>
      </c>
      <c r="K94" s="92">
        <v>151.55000000000001</v>
      </c>
      <c r="L94" s="92" t="s">
        <v>75</v>
      </c>
      <c r="M94" s="92" t="s">
        <v>82</v>
      </c>
      <c r="N94" s="92" t="s">
        <v>89</v>
      </c>
      <c r="O94" s="92" t="b">
        <v>0</v>
      </c>
      <c r="P94" s="92" t="s">
        <v>78</v>
      </c>
      <c r="Q94" s="92" t="s">
        <v>79</v>
      </c>
      <c r="R94" s="92" t="s">
        <v>85</v>
      </c>
      <c r="S94" s="92" t="b">
        <v>0</v>
      </c>
      <c r="T94" s="100">
        <v>0</v>
      </c>
      <c r="U94" s="100">
        <v>1.617122586148633E+19</v>
      </c>
      <c r="V94" s="100"/>
    </row>
    <row r="95" spans="4:22" ht="15" customHeight="1">
      <c r="D95" s="98" t="s">
        <v>98</v>
      </c>
      <c r="E95" s="93">
        <v>0</v>
      </c>
      <c r="F95" s="91">
        <v>1</v>
      </c>
      <c r="G95" s="91" t="s">
        <v>74</v>
      </c>
      <c r="H95" s="92">
        <v>45.5</v>
      </c>
      <c r="I95" s="92">
        <v>0</v>
      </c>
      <c r="J95" s="92">
        <v>0</v>
      </c>
      <c r="K95" s="92">
        <v>28.5</v>
      </c>
      <c r="L95" s="92" t="s">
        <v>75</v>
      </c>
      <c r="M95" s="92" t="s">
        <v>82</v>
      </c>
      <c r="N95" s="92" t="s">
        <v>77</v>
      </c>
      <c r="O95" s="92" t="b">
        <v>1</v>
      </c>
      <c r="P95" s="92" t="s">
        <v>78</v>
      </c>
      <c r="Q95" s="92" t="s">
        <v>79</v>
      </c>
      <c r="R95" s="92" t="s">
        <v>80</v>
      </c>
      <c r="S95" s="92" t="b">
        <v>1</v>
      </c>
      <c r="T95" s="100">
        <v>0</v>
      </c>
      <c r="U95" s="100">
        <v>6.5862451383688673E+18</v>
      </c>
      <c r="V95" s="100"/>
    </row>
    <row r="96" spans="4:22" ht="15" customHeight="1">
      <c r="D96" s="98" t="s">
        <v>98</v>
      </c>
      <c r="E96" s="93">
        <v>1</v>
      </c>
      <c r="F96" s="91">
        <v>3</v>
      </c>
      <c r="G96" s="91" t="s">
        <v>81</v>
      </c>
      <c r="H96" s="92">
        <v>0.75</v>
      </c>
      <c r="I96" s="92">
        <v>2</v>
      </c>
      <c r="J96" s="92">
        <v>1</v>
      </c>
      <c r="K96" s="92">
        <v>19.258299999999998</v>
      </c>
      <c r="L96" s="92" t="s">
        <v>78</v>
      </c>
      <c r="M96" s="92" t="s">
        <v>76</v>
      </c>
      <c r="N96" s="92" t="s">
        <v>89</v>
      </c>
      <c r="O96" s="92" t="b">
        <v>0</v>
      </c>
      <c r="P96" s="92"/>
      <c r="Q96" s="92" t="s">
        <v>84</v>
      </c>
      <c r="R96" s="92" t="s">
        <v>85</v>
      </c>
      <c r="S96" s="92" t="b">
        <v>0</v>
      </c>
      <c r="T96" s="100">
        <v>1</v>
      </c>
      <c r="U96" s="100">
        <v>1.5464666660360884E+19</v>
      </c>
      <c r="V96" s="100"/>
    </row>
    <row r="97" spans="4:22" ht="15" customHeight="1">
      <c r="D97" s="98" t="s">
        <v>98</v>
      </c>
      <c r="E97" s="93">
        <v>0</v>
      </c>
      <c r="F97" s="91">
        <v>3</v>
      </c>
      <c r="G97" s="91" t="s">
        <v>74</v>
      </c>
      <c r="H97" s="92">
        <v>40.5</v>
      </c>
      <c r="I97" s="92">
        <v>0</v>
      </c>
      <c r="J97" s="92">
        <v>0</v>
      </c>
      <c r="K97" s="92">
        <v>7.75</v>
      </c>
      <c r="L97" s="92" t="s">
        <v>86</v>
      </c>
      <c r="M97" s="92" t="s">
        <v>76</v>
      </c>
      <c r="N97" s="92" t="s">
        <v>77</v>
      </c>
      <c r="O97" s="92" t="b">
        <v>1</v>
      </c>
      <c r="P97" s="92"/>
      <c r="Q97" s="92" t="s">
        <v>87</v>
      </c>
      <c r="R97" s="92" t="s">
        <v>80</v>
      </c>
      <c r="S97" s="92" t="b">
        <v>1</v>
      </c>
      <c r="T97" s="100">
        <v>1</v>
      </c>
      <c r="U97" s="100">
        <v>1.2067606696561324E+19</v>
      </c>
      <c r="V97" s="100"/>
    </row>
    <row r="98" spans="4:22" ht="15" customHeight="1">
      <c r="D98" s="98" t="s">
        <v>98</v>
      </c>
      <c r="E98" s="93">
        <v>1</v>
      </c>
      <c r="F98" s="91">
        <v>3</v>
      </c>
      <c r="G98" s="91" t="s">
        <v>81</v>
      </c>
      <c r="H98" s="92">
        <v>0.75</v>
      </c>
      <c r="I98" s="92">
        <v>2</v>
      </c>
      <c r="J98" s="92">
        <v>1</v>
      </c>
      <c r="K98" s="92">
        <v>19.258299999999998</v>
      </c>
      <c r="L98" s="92" t="s">
        <v>78</v>
      </c>
      <c r="M98" s="92" t="s">
        <v>76</v>
      </c>
      <c r="N98" s="92" t="s">
        <v>89</v>
      </c>
      <c r="O98" s="92" t="b">
        <v>0</v>
      </c>
      <c r="P98" s="92"/>
      <c r="Q98" s="92" t="s">
        <v>84</v>
      </c>
      <c r="R98" s="92" t="s">
        <v>85</v>
      </c>
      <c r="S98" s="92" t="b">
        <v>0</v>
      </c>
      <c r="T98" s="100">
        <v>1</v>
      </c>
      <c r="U98" s="100">
        <v>1.5464666660360884E+19</v>
      </c>
      <c r="V98" s="100"/>
    </row>
    <row r="99" spans="4:22" ht="15" customHeight="1">
      <c r="D99" s="98" t="s">
        <v>98</v>
      </c>
      <c r="E99" s="93">
        <v>0</v>
      </c>
      <c r="F99" s="91">
        <v>3</v>
      </c>
      <c r="G99" s="91" t="s">
        <v>74</v>
      </c>
      <c r="H99" s="92">
        <v>24.5</v>
      </c>
      <c r="I99" s="92">
        <v>0</v>
      </c>
      <c r="J99" s="92">
        <v>0</v>
      </c>
      <c r="K99" s="92">
        <v>8.0500000000000007</v>
      </c>
      <c r="L99" s="92" t="s">
        <v>75</v>
      </c>
      <c r="M99" s="92" t="s">
        <v>76</v>
      </c>
      <c r="N99" s="92" t="s">
        <v>77</v>
      </c>
      <c r="O99" s="92" t="b">
        <v>1</v>
      </c>
      <c r="P99" s="92"/>
      <c r="Q99" s="92" t="s">
        <v>79</v>
      </c>
      <c r="R99" s="92" t="s">
        <v>80</v>
      </c>
      <c r="S99" s="92" t="b">
        <v>1</v>
      </c>
      <c r="T99" s="100">
        <v>1</v>
      </c>
      <c r="U99" s="100">
        <v>1.6901868587164459E+19</v>
      </c>
      <c r="V99" s="100"/>
    </row>
    <row r="100" spans="4:22" ht="15" customHeight="1">
      <c r="D100" s="98" t="s">
        <v>98</v>
      </c>
      <c r="E100" s="93">
        <v>0</v>
      </c>
      <c r="F100" s="91">
        <v>3</v>
      </c>
      <c r="G100" s="91" t="s">
        <v>74</v>
      </c>
      <c r="H100" s="92">
        <v>28.5</v>
      </c>
      <c r="I100" s="92">
        <v>0</v>
      </c>
      <c r="J100" s="92">
        <v>0</v>
      </c>
      <c r="K100" s="92">
        <v>16.100000000000001</v>
      </c>
      <c r="L100" s="92" t="s">
        <v>75</v>
      </c>
      <c r="M100" s="92" t="s">
        <v>76</v>
      </c>
      <c r="N100" s="92" t="s">
        <v>77</v>
      </c>
      <c r="O100" s="92" t="b">
        <v>1</v>
      </c>
      <c r="P100" s="92"/>
      <c r="Q100" s="92" t="s">
        <v>79</v>
      </c>
      <c r="R100" s="92" t="s">
        <v>80</v>
      </c>
      <c r="S100" s="92" t="b">
        <v>1</v>
      </c>
      <c r="T100" s="100">
        <v>1</v>
      </c>
      <c r="U100" s="100">
        <v>6.361495628260864E+18</v>
      </c>
      <c r="V100" s="100"/>
    </row>
    <row r="101" spans="4:22" ht="15" customHeight="1">
      <c r="D101" s="98" t="s">
        <v>98</v>
      </c>
      <c r="E101" s="93">
        <v>1</v>
      </c>
      <c r="F101" s="91">
        <v>2</v>
      </c>
      <c r="G101" s="91" t="s">
        <v>74</v>
      </c>
      <c r="H101" s="92">
        <v>0.67</v>
      </c>
      <c r="I101" s="92">
        <v>1</v>
      </c>
      <c r="J101" s="92">
        <v>1</v>
      </c>
      <c r="K101" s="92">
        <v>14.5</v>
      </c>
      <c r="L101" s="92" t="s">
        <v>75</v>
      </c>
      <c r="M101" s="92" t="s">
        <v>90</v>
      </c>
      <c r="N101" s="92" t="s">
        <v>89</v>
      </c>
      <c r="O101" s="92" t="b">
        <v>0</v>
      </c>
      <c r="P101" s="92"/>
      <c r="Q101" s="92" t="s">
        <v>79</v>
      </c>
      <c r="R101" s="92" t="s">
        <v>85</v>
      </c>
      <c r="S101" s="92" t="b">
        <v>0</v>
      </c>
      <c r="T101" s="100">
        <v>1</v>
      </c>
      <c r="U101" s="100">
        <v>6.3424628141217116E+18</v>
      </c>
      <c r="V101" s="100"/>
    </row>
    <row r="102" spans="4:22" ht="15" customHeight="1">
      <c r="D102" s="98" t="s">
        <v>98</v>
      </c>
      <c r="E102" s="93">
        <v>0</v>
      </c>
      <c r="F102" s="91">
        <v>3</v>
      </c>
      <c r="G102" s="91" t="s">
        <v>81</v>
      </c>
      <c r="H102" s="92">
        <v>30.5</v>
      </c>
      <c r="I102" s="92">
        <v>0</v>
      </c>
      <c r="J102" s="92">
        <v>0</v>
      </c>
      <c r="K102" s="92">
        <v>7.75</v>
      </c>
      <c r="L102" s="92" t="s">
        <v>86</v>
      </c>
      <c r="M102" s="92" t="s">
        <v>76</v>
      </c>
      <c r="N102" s="92" t="s">
        <v>83</v>
      </c>
      <c r="O102" s="92" t="b">
        <v>0</v>
      </c>
      <c r="P102" s="92"/>
      <c r="Q102" s="92" t="s">
        <v>87</v>
      </c>
      <c r="R102" s="92" t="s">
        <v>80</v>
      </c>
      <c r="S102" s="92" t="b">
        <v>1</v>
      </c>
      <c r="T102" s="100">
        <v>1</v>
      </c>
      <c r="U102" s="100">
        <v>1.0993062757497639E+19</v>
      </c>
      <c r="V102" s="100"/>
    </row>
    <row r="103" spans="4:22" ht="15" customHeight="1">
      <c r="D103" s="98" t="s">
        <v>98</v>
      </c>
      <c r="E103" s="93">
        <v>1</v>
      </c>
      <c r="F103" s="91">
        <v>3</v>
      </c>
      <c r="G103" s="91" t="s">
        <v>74</v>
      </c>
      <c r="H103" s="92">
        <v>0.42</v>
      </c>
      <c r="I103" s="92">
        <v>0</v>
      </c>
      <c r="J103" s="92">
        <v>1</v>
      </c>
      <c r="K103" s="92">
        <v>8.5167000000000002</v>
      </c>
      <c r="L103" s="92" t="s">
        <v>78</v>
      </c>
      <c r="M103" s="92" t="s">
        <v>76</v>
      </c>
      <c r="N103" s="92" t="s">
        <v>89</v>
      </c>
      <c r="O103" s="92" t="b">
        <v>0</v>
      </c>
      <c r="P103" s="92"/>
      <c r="Q103" s="92" t="s">
        <v>84</v>
      </c>
      <c r="R103" s="92" t="s">
        <v>85</v>
      </c>
      <c r="S103" s="92" t="b">
        <v>0</v>
      </c>
      <c r="T103" s="100">
        <v>1</v>
      </c>
      <c r="U103" s="100">
        <v>1.1491115995266531E+19</v>
      </c>
      <c r="V103" s="100"/>
    </row>
    <row r="104" spans="4:22" ht="15" customHeight="1">
      <c r="D104" s="98" t="s">
        <v>98</v>
      </c>
      <c r="E104" s="93">
        <v>0</v>
      </c>
      <c r="F104" s="91">
        <v>3</v>
      </c>
      <c r="G104" s="91" t="s">
        <v>74</v>
      </c>
      <c r="H104" s="92">
        <v>30.5</v>
      </c>
      <c r="I104" s="92">
        <v>0</v>
      </c>
      <c r="J104" s="92">
        <v>0</v>
      </c>
      <c r="K104" s="92">
        <v>8.0500000000000007</v>
      </c>
      <c r="L104" s="92" t="s">
        <v>75</v>
      </c>
      <c r="M104" s="92" t="s">
        <v>76</v>
      </c>
      <c r="N104" s="92" t="s">
        <v>77</v>
      </c>
      <c r="O104" s="92" t="b">
        <v>1</v>
      </c>
      <c r="P104" s="92"/>
      <c r="Q104" s="92" t="s">
        <v>79</v>
      </c>
      <c r="R104" s="92" t="s">
        <v>80</v>
      </c>
      <c r="S104" s="92" t="b">
        <v>1</v>
      </c>
      <c r="T104" s="100">
        <v>1</v>
      </c>
      <c r="U104" s="100">
        <v>1.550044433234177E+19</v>
      </c>
      <c r="V104" s="100"/>
    </row>
    <row r="105" spans="4:22" ht="15" customHeight="1">
      <c r="D105" s="98" t="s">
        <v>98</v>
      </c>
      <c r="E105" s="93">
        <v>1</v>
      </c>
      <c r="F105" s="91">
        <v>2</v>
      </c>
      <c r="G105" s="91" t="s">
        <v>74</v>
      </c>
      <c r="H105" s="92">
        <v>0.83</v>
      </c>
      <c r="I105" s="92">
        <v>1</v>
      </c>
      <c r="J105" s="92">
        <v>1</v>
      </c>
      <c r="K105" s="92">
        <v>18.75</v>
      </c>
      <c r="L105" s="92" t="s">
        <v>75</v>
      </c>
      <c r="M105" s="92" t="s">
        <v>90</v>
      </c>
      <c r="N105" s="92" t="s">
        <v>89</v>
      </c>
      <c r="O105" s="92" t="b">
        <v>0</v>
      </c>
      <c r="P105" s="92"/>
      <c r="Q105" s="92" t="s">
        <v>79</v>
      </c>
      <c r="R105" s="92" t="s">
        <v>85</v>
      </c>
      <c r="S105" s="92" t="b">
        <v>0</v>
      </c>
      <c r="T105" s="100">
        <v>1</v>
      </c>
      <c r="U105" s="100">
        <v>7.2382388417408061E+18</v>
      </c>
      <c r="V105" s="100"/>
    </row>
    <row r="106" spans="4:22" ht="15" customHeight="1">
      <c r="D106" s="98" t="s">
        <v>98</v>
      </c>
      <c r="E106" s="93">
        <v>0</v>
      </c>
      <c r="F106" s="91">
        <v>3</v>
      </c>
      <c r="G106" s="91" t="s">
        <v>74</v>
      </c>
      <c r="H106" s="92">
        <v>34.5</v>
      </c>
      <c r="I106" s="92">
        <v>0</v>
      </c>
      <c r="J106" s="92">
        <v>0</v>
      </c>
      <c r="K106" s="92">
        <v>6.4375</v>
      </c>
      <c r="L106" s="92" t="s">
        <v>78</v>
      </c>
      <c r="M106" s="92" t="s">
        <v>76</v>
      </c>
      <c r="N106" s="92" t="s">
        <v>77</v>
      </c>
      <c r="O106" s="92" t="b">
        <v>1</v>
      </c>
      <c r="P106" s="92"/>
      <c r="Q106" s="92" t="s">
        <v>84</v>
      </c>
      <c r="R106" s="92" t="s">
        <v>80</v>
      </c>
      <c r="S106" s="92" t="b">
        <v>1</v>
      </c>
      <c r="T106" s="100">
        <v>1</v>
      </c>
      <c r="U106" s="100">
        <v>1.7585130779567972E+19</v>
      </c>
      <c r="V106" s="100"/>
    </row>
    <row r="107" spans="4:22" ht="15" customHeight="1">
      <c r="D107" s="98" t="b">
        <v>0</v>
      </c>
      <c r="E107" s="93">
        <v>0</v>
      </c>
      <c r="F107" s="91">
        <v>3</v>
      </c>
      <c r="G107" s="91" t="s">
        <v>74</v>
      </c>
      <c r="H107" s="92">
        <v>22</v>
      </c>
      <c r="I107" s="92">
        <v>1</v>
      </c>
      <c r="J107" s="92">
        <v>0</v>
      </c>
      <c r="K107" s="92">
        <v>7.25</v>
      </c>
      <c r="L107" s="92" t="s">
        <v>75</v>
      </c>
      <c r="M107" s="92" t="s">
        <v>76</v>
      </c>
      <c r="N107" s="92" t="s">
        <v>77</v>
      </c>
      <c r="O107" s="92" t="b">
        <v>1</v>
      </c>
      <c r="P107" s="92"/>
      <c r="Q107" s="92" t="s">
        <v>79</v>
      </c>
      <c r="R107" s="92" t="s">
        <v>80</v>
      </c>
      <c r="S107" s="92" t="b">
        <v>0</v>
      </c>
      <c r="T107" s="100">
        <v>1</v>
      </c>
      <c r="U107" s="100">
        <v>7.0692923776157716E+18</v>
      </c>
      <c r="V107" s="100"/>
    </row>
    <row r="108" spans="4:22" ht="15" customHeight="1">
      <c r="D108" s="98" t="b">
        <v>0</v>
      </c>
      <c r="E108" s="93">
        <v>1</v>
      </c>
      <c r="F108" s="91">
        <v>1</v>
      </c>
      <c r="G108" s="91" t="s">
        <v>81</v>
      </c>
      <c r="H108" s="92">
        <v>38</v>
      </c>
      <c r="I108" s="92">
        <v>1</v>
      </c>
      <c r="J108" s="92">
        <v>0</v>
      </c>
      <c r="K108" s="92">
        <v>71.283299999999997</v>
      </c>
      <c r="L108" s="92" t="s">
        <v>78</v>
      </c>
      <c r="M108" s="92" t="s">
        <v>82</v>
      </c>
      <c r="N108" s="92" t="s">
        <v>83</v>
      </c>
      <c r="O108" s="92" t="b">
        <v>0</v>
      </c>
      <c r="P108" s="92" t="s">
        <v>78</v>
      </c>
      <c r="Q108" s="92" t="s">
        <v>84</v>
      </c>
      <c r="R108" s="92" t="s">
        <v>85</v>
      </c>
      <c r="S108" s="92" t="b">
        <v>0</v>
      </c>
      <c r="T108" s="100">
        <v>0</v>
      </c>
      <c r="U108" s="100">
        <v>3.3535451461688868E+18</v>
      </c>
      <c r="V108" s="100"/>
    </row>
    <row r="109" spans="4:22" ht="15" customHeight="1">
      <c r="D109" s="98" t="b">
        <v>0</v>
      </c>
      <c r="E109" s="93">
        <v>1</v>
      </c>
      <c r="F109" s="91">
        <v>3</v>
      </c>
      <c r="G109" s="91" t="s">
        <v>81</v>
      </c>
      <c r="H109" s="92">
        <v>26</v>
      </c>
      <c r="I109" s="92">
        <v>0</v>
      </c>
      <c r="J109" s="92">
        <v>0</v>
      </c>
      <c r="K109" s="92">
        <v>7.9249999999999998</v>
      </c>
      <c r="L109" s="92" t="s">
        <v>75</v>
      </c>
      <c r="M109" s="92" t="s">
        <v>76</v>
      </c>
      <c r="N109" s="92" t="s">
        <v>83</v>
      </c>
      <c r="O109" s="92" t="b">
        <v>0</v>
      </c>
      <c r="P109" s="92"/>
      <c r="Q109" s="92" t="s">
        <v>79</v>
      </c>
      <c r="R109" s="92" t="s">
        <v>85</v>
      </c>
      <c r="S109" s="92" t="b">
        <v>1</v>
      </c>
      <c r="T109" s="100">
        <v>1</v>
      </c>
      <c r="U109" s="100">
        <v>5.2768456082180854E+18</v>
      </c>
      <c r="V109" s="100"/>
    </row>
    <row r="110" spans="4:22" ht="15" customHeight="1">
      <c r="D110" s="98" t="b">
        <v>0</v>
      </c>
      <c r="E110" s="93">
        <v>1</v>
      </c>
      <c r="F110" s="91">
        <v>1</v>
      </c>
      <c r="G110" s="91" t="s">
        <v>81</v>
      </c>
      <c r="H110" s="92">
        <v>35</v>
      </c>
      <c r="I110" s="92">
        <v>1</v>
      </c>
      <c r="J110" s="92">
        <v>0</v>
      </c>
      <c r="K110" s="92">
        <v>53.1</v>
      </c>
      <c r="L110" s="92" t="s">
        <v>75</v>
      </c>
      <c r="M110" s="92" t="s">
        <v>82</v>
      </c>
      <c r="N110" s="92" t="s">
        <v>83</v>
      </c>
      <c r="O110" s="92" t="b">
        <v>0</v>
      </c>
      <c r="P110" s="92" t="s">
        <v>78</v>
      </c>
      <c r="Q110" s="92" t="s">
        <v>79</v>
      </c>
      <c r="R110" s="92" t="s">
        <v>85</v>
      </c>
      <c r="S110" s="92" t="b">
        <v>0</v>
      </c>
      <c r="T110" s="100">
        <v>0</v>
      </c>
      <c r="U110" s="100">
        <v>4.4037704675037676E+18</v>
      </c>
      <c r="V110" s="100"/>
    </row>
    <row r="111" spans="4:22" ht="15" customHeight="1">
      <c r="D111" s="98" t="b">
        <v>0</v>
      </c>
      <c r="E111" s="93">
        <v>0</v>
      </c>
      <c r="F111" s="91">
        <v>3</v>
      </c>
      <c r="G111" s="91" t="s">
        <v>74</v>
      </c>
      <c r="H111" s="92">
        <v>35</v>
      </c>
      <c r="I111" s="92">
        <v>0</v>
      </c>
      <c r="J111" s="92">
        <v>0</v>
      </c>
      <c r="K111" s="92">
        <v>8.0500000000000007</v>
      </c>
      <c r="L111" s="92" t="s">
        <v>75</v>
      </c>
      <c r="M111" s="92" t="s">
        <v>76</v>
      </c>
      <c r="N111" s="92" t="s">
        <v>77</v>
      </c>
      <c r="O111" s="92" t="b">
        <v>1</v>
      </c>
      <c r="P111" s="92"/>
      <c r="Q111" s="92" t="s">
        <v>79</v>
      </c>
      <c r="R111" s="92" t="s">
        <v>80</v>
      </c>
      <c r="S111" s="92" t="b">
        <v>1</v>
      </c>
      <c r="T111" s="100">
        <v>1</v>
      </c>
      <c r="U111" s="100">
        <v>6.1054175316603904E+18</v>
      </c>
      <c r="V111" s="100"/>
    </row>
    <row r="112" spans="4:22" ht="15" customHeight="1">
      <c r="D112" s="98" t="b">
        <v>0</v>
      </c>
      <c r="E112" s="93">
        <v>0</v>
      </c>
      <c r="F112" s="91">
        <v>3</v>
      </c>
      <c r="G112" s="91" t="s">
        <v>74</v>
      </c>
      <c r="H112" s="92"/>
      <c r="I112" s="92">
        <v>0</v>
      </c>
      <c r="J112" s="92">
        <v>0</v>
      </c>
      <c r="K112" s="92">
        <v>8.4582999999999995</v>
      </c>
      <c r="L112" s="92" t="s">
        <v>86</v>
      </c>
      <c r="M112" s="92" t="s">
        <v>76</v>
      </c>
      <c r="N112" s="92" t="s">
        <v>77</v>
      </c>
      <c r="O112" s="92" t="b">
        <v>1</v>
      </c>
      <c r="P112" s="92"/>
      <c r="Q112" s="92" t="s">
        <v>87</v>
      </c>
      <c r="R112" s="92" t="s">
        <v>80</v>
      </c>
      <c r="S112" s="92" t="b">
        <v>1</v>
      </c>
      <c r="T112" s="100">
        <v>1</v>
      </c>
      <c r="U112" s="100">
        <v>4.4655459203954291E+17</v>
      </c>
      <c r="V112" s="100"/>
    </row>
    <row r="113" spans="4:22" ht="15" customHeight="1">
      <c r="D113" s="98" t="b">
        <v>0</v>
      </c>
      <c r="E113" s="93">
        <v>0</v>
      </c>
      <c r="F113" s="91">
        <v>1</v>
      </c>
      <c r="G113" s="91" t="s">
        <v>74</v>
      </c>
      <c r="H113" s="92">
        <v>54</v>
      </c>
      <c r="I113" s="92">
        <v>0</v>
      </c>
      <c r="J113" s="92">
        <v>0</v>
      </c>
      <c r="K113" s="92">
        <v>51.862499999999997</v>
      </c>
      <c r="L113" s="92" t="s">
        <v>75</v>
      </c>
      <c r="M113" s="92" t="s">
        <v>82</v>
      </c>
      <c r="N113" s="92" t="s">
        <v>77</v>
      </c>
      <c r="O113" s="92" t="b">
        <v>1</v>
      </c>
      <c r="P113" s="92" t="s">
        <v>88</v>
      </c>
      <c r="Q113" s="92" t="s">
        <v>79</v>
      </c>
      <c r="R113" s="92" t="s">
        <v>80</v>
      </c>
      <c r="S113" s="92" t="b">
        <v>1</v>
      </c>
      <c r="T113" s="100">
        <v>0</v>
      </c>
      <c r="U113" s="100">
        <v>3.6957077212636063E+18</v>
      </c>
      <c r="V113" s="100"/>
    </row>
    <row r="114" spans="4:22" ht="15" customHeight="1">
      <c r="D114" s="98" t="b">
        <v>0</v>
      </c>
      <c r="E114" s="93">
        <v>0</v>
      </c>
      <c r="F114" s="91">
        <v>3</v>
      </c>
      <c r="G114" s="91" t="s">
        <v>74</v>
      </c>
      <c r="H114" s="92">
        <v>2</v>
      </c>
      <c r="I114" s="92">
        <v>3</v>
      </c>
      <c r="J114" s="92">
        <v>1</v>
      </c>
      <c r="K114" s="92">
        <v>21.074999999999999</v>
      </c>
      <c r="L114" s="92" t="s">
        <v>75</v>
      </c>
      <c r="M114" s="92" t="s">
        <v>76</v>
      </c>
      <c r="N114" s="92" t="s">
        <v>89</v>
      </c>
      <c r="O114" s="92" t="b">
        <v>0</v>
      </c>
      <c r="P114" s="92"/>
      <c r="Q114" s="92" t="s">
        <v>79</v>
      </c>
      <c r="R114" s="92" t="s">
        <v>80</v>
      </c>
      <c r="S114" s="92" t="b">
        <v>0</v>
      </c>
      <c r="T114" s="100">
        <v>1</v>
      </c>
      <c r="U114" s="100">
        <v>7.2438425868261192E+18</v>
      </c>
      <c r="V114" s="100"/>
    </row>
    <row r="115" spans="4:22" ht="15" customHeight="1">
      <c r="D115" s="98" t="b">
        <v>0</v>
      </c>
      <c r="E115" s="93">
        <v>1</v>
      </c>
      <c r="F115" s="91">
        <v>3</v>
      </c>
      <c r="G115" s="91" t="s">
        <v>81</v>
      </c>
      <c r="H115" s="92">
        <v>27</v>
      </c>
      <c r="I115" s="92">
        <v>0</v>
      </c>
      <c r="J115" s="92">
        <v>2</v>
      </c>
      <c r="K115" s="92">
        <v>11.1333</v>
      </c>
      <c r="L115" s="92" t="s">
        <v>75</v>
      </c>
      <c r="M115" s="92" t="s">
        <v>76</v>
      </c>
      <c r="N115" s="92" t="s">
        <v>83</v>
      </c>
      <c r="O115" s="92" t="b">
        <v>0</v>
      </c>
      <c r="P115" s="92"/>
      <c r="Q115" s="92" t="s">
        <v>79</v>
      </c>
      <c r="R115" s="92" t="s">
        <v>85</v>
      </c>
      <c r="S115" s="92" t="b">
        <v>0</v>
      </c>
      <c r="T115" s="100">
        <v>1</v>
      </c>
      <c r="U115" s="100">
        <v>1.7072068480255513E+19</v>
      </c>
      <c r="V115" s="100"/>
    </row>
    <row r="116" spans="4:22" ht="15" customHeight="1">
      <c r="D116" s="98" t="b">
        <v>0</v>
      </c>
      <c r="E116" s="93">
        <v>1</v>
      </c>
      <c r="F116" s="91">
        <v>2</v>
      </c>
      <c r="G116" s="91" t="s">
        <v>81</v>
      </c>
      <c r="H116" s="92">
        <v>14</v>
      </c>
      <c r="I116" s="92">
        <v>1</v>
      </c>
      <c r="J116" s="92">
        <v>0</v>
      </c>
      <c r="K116" s="92">
        <v>30.070799999999998</v>
      </c>
      <c r="L116" s="92" t="s">
        <v>78</v>
      </c>
      <c r="M116" s="92" t="s">
        <v>90</v>
      </c>
      <c r="N116" s="92" t="s">
        <v>89</v>
      </c>
      <c r="O116" s="92" t="b">
        <v>0</v>
      </c>
      <c r="P116" s="92"/>
      <c r="Q116" s="92" t="s">
        <v>84</v>
      </c>
      <c r="R116" s="92" t="s">
        <v>85</v>
      </c>
      <c r="S116" s="92" t="b">
        <v>0</v>
      </c>
      <c r="T116" s="100">
        <v>1</v>
      </c>
      <c r="U116" s="100">
        <v>6.1575862322748088E+18</v>
      </c>
      <c r="V116" s="100"/>
    </row>
    <row r="117" spans="4:22" ht="15" customHeight="1">
      <c r="D117" s="98" t="b">
        <v>0</v>
      </c>
      <c r="E117" s="93">
        <v>1</v>
      </c>
      <c r="F117" s="91">
        <v>3</v>
      </c>
      <c r="G117" s="91" t="s">
        <v>81</v>
      </c>
      <c r="H117" s="92">
        <v>4</v>
      </c>
      <c r="I117" s="92">
        <v>1</v>
      </c>
      <c r="J117" s="92">
        <v>1</v>
      </c>
      <c r="K117" s="92">
        <v>16.7</v>
      </c>
      <c r="L117" s="92" t="s">
        <v>75</v>
      </c>
      <c r="M117" s="92" t="s">
        <v>76</v>
      </c>
      <c r="N117" s="92" t="s">
        <v>89</v>
      </c>
      <c r="O117" s="92" t="b">
        <v>0</v>
      </c>
      <c r="P117" s="92" t="s">
        <v>91</v>
      </c>
      <c r="Q117" s="92" t="s">
        <v>79</v>
      </c>
      <c r="R117" s="92" t="s">
        <v>85</v>
      </c>
      <c r="S117" s="92" t="b">
        <v>0</v>
      </c>
      <c r="T117" s="100">
        <v>0</v>
      </c>
      <c r="U117" s="100">
        <v>1.3739827406764044E+19</v>
      </c>
      <c r="V117" s="100"/>
    </row>
    <row r="118" spans="4:22" ht="15" customHeight="1">
      <c r="D118" s="98" t="b">
        <v>0</v>
      </c>
      <c r="E118" s="93">
        <v>1</v>
      </c>
      <c r="F118" s="91">
        <v>1</v>
      </c>
      <c r="G118" s="91" t="s">
        <v>81</v>
      </c>
      <c r="H118" s="92">
        <v>58</v>
      </c>
      <c r="I118" s="92">
        <v>0</v>
      </c>
      <c r="J118" s="92">
        <v>0</v>
      </c>
      <c r="K118" s="92">
        <v>26.55</v>
      </c>
      <c r="L118" s="92" t="s">
        <v>75</v>
      </c>
      <c r="M118" s="92" t="s">
        <v>82</v>
      </c>
      <c r="N118" s="92" t="s">
        <v>83</v>
      </c>
      <c r="O118" s="92" t="b">
        <v>0</v>
      </c>
      <c r="P118" s="92" t="s">
        <v>78</v>
      </c>
      <c r="Q118" s="92" t="s">
        <v>79</v>
      </c>
      <c r="R118" s="92" t="s">
        <v>85</v>
      </c>
      <c r="S118" s="92" t="b">
        <v>1</v>
      </c>
      <c r="T118" s="100">
        <v>0</v>
      </c>
      <c r="U118" s="100">
        <v>1.3293939893460816E+19</v>
      </c>
      <c r="V118" s="100"/>
    </row>
    <row r="119" spans="4:22" ht="15" customHeight="1">
      <c r="D119" s="98" t="b">
        <v>0</v>
      </c>
      <c r="E119" s="93">
        <v>0</v>
      </c>
      <c r="F119" s="91">
        <v>3</v>
      </c>
      <c r="G119" s="91" t="s">
        <v>74</v>
      </c>
      <c r="H119" s="92">
        <v>20</v>
      </c>
      <c r="I119" s="92">
        <v>0</v>
      </c>
      <c r="J119" s="92">
        <v>0</v>
      </c>
      <c r="K119" s="92">
        <v>8.0500000000000007</v>
      </c>
      <c r="L119" s="92" t="s">
        <v>75</v>
      </c>
      <c r="M119" s="92" t="s">
        <v>76</v>
      </c>
      <c r="N119" s="92" t="s">
        <v>77</v>
      </c>
      <c r="O119" s="92" t="b">
        <v>1</v>
      </c>
      <c r="P119" s="92"/>
      <c r="Q119" s="92" t="s">
        <v>79</v>
      </c>
      <c r="R119" s="92" t="s">
        <v>80</v>
      </c>
      <c r="S119" s="92" t="b">
        <v>1</v>
      </c>
      <c r="T119" s="100">
        <v>1</v>
      </c>
      <c r="U119" s="100">
        <v>1.6406794173800385E+19</v>
      </c>
      <c r="V119" s="100"/>
    </row>
    <row r="120" spans="4:22" ht="15" customHeight="1">
      <c r="D120" s="98" t="b">
        <v>0</v>
      </c>
      <c r="E120" s="93">
        <v>0</v>
      </c>
      <c r="F120" s="91">
        <v>3</v>
      </c>
      <c r="G120" s="91" t="s">
        <v>74</v>
      </c>
      <c r="H120" s="92">
        <v>39</v>
      </c>
      <c r="I120" s="92">
        <v>1</v>
      </c>
      <c r="J120" s="92">
        <v>5</v>
      </c>
      <c r="K120" s="92">
        <v>31.274999999999999</v>
      </c>
      <c r="L120" s="92" t="s">
        <v>75</v>
      </c>
      <c r="M120" s="92" t="s">
        <v>76</v>
      </c>
      <c r="N120" s="92" t="s">
        <v>77</v>
      </c>
      <c r="O120" s="92" t="b">
        <v>1</v>
      </c>
      <c r="P120" s="92"/>
      <c r="Q120" s="92" t="s">
        <v>79</v>
      </c>
      <c r="R120" s="92" t="s">
        <v>80</v>
      </c>
      <c r="S120" s="92" t="b">
        <v>0</v>
      </c>
      <c r="T120" s="100">
        <v>1</v>
      </c>
      <c r="U120" s="100">
        <v>9.7524291589215355E+18</v>
      </c>
      <c r="V120" s="100"/>
    </row>
    <row r="121" spans="4:22" ht="15" customHeight="1">
      <c r="D121" s="98" t="b">
        <v>0</v>
      </c>
      <c r="E121" s="93">
        <v>0</v>
      </c>
      <c r="F121" s="91">
        <v>3</v>
      </c>
      <c r="G121" s="91" t="s">
        <v>81</v>
      </c>
      <c r="H121" s="92">
        <v>14</v>
      </c>
      <c r="I121" s="92">
        <v>0</v>
      </c>
      <c r="J121" s="92">
        <v>0</v>
      </c>
      <c r="K121" s="92">
        <v>7.8541999999999996</v>
      </c>
      <c r="L121" s="92" t="s">
        <v>75</v>
      </c>
      <c r="M121" s="92" t="s">
        <v>76</v>
      </c>
      <c r="N121" s="92" t="s">
        <v>89</v>
      </c>
      <c r="O121" s="92" t="b">
        <v>0</v>
      </c>
      <c r="P121" s="92"/>
      <c r="Q121" s="92" t="s">
        <v>79</v>
      </c>
      <c r="R121" s="92" t="s">
        <v>80</v>
      </c>
      <c r="S121" s="92" t="b">
        <v>1</v>
      </c>
      <c r="T121" s="100">
        <v>1</v>
      </c>
      <c r="U121" s="100">
        <v>1.0282232958925574E+19</v>
      </c>
      <c r="V121" s="100"/>
    </row>
    <row r="122" spans="4:22" ht="15" customHeight="1">
      <c r="D122" s="98" t="b">
        <v>0</v>
      </c>
      <c r="E122" s="93">
        <v>1</v>
      </c>
      <c r="F122" s="91">
        <v>2</v>
      </c>
      <c r="G122" s="91" t="s">
        <v>81</v>
      </c>
      <c r="H122" s="92">
        <v>55</v>
      </c>
      <c r="I122" s="92">
        <v>0</v>
      </c>
      <c r="J122" s="92">
        <v>0</v>
      </c>
      <c r="K122" s="92">
        <v>16</v>
      </c>
      <c r="L122" s="92" t="s">
        <v>75</v>
      </c>
      <c r="M122" s="92" t="s">
        <v>90</v>
      </c>
      <c r="N122" s="92" t="s">
        <v>83</v>
      </c>
      <c r="O122" s="92" t="b">
        <v>0</v>
      </c>
      <c r="P122" s="92"/>
      <c r="Q122" s="92" t="s">
        <v>79</v>
      </c>
      <c r="R122" s="92" t="s">
        <v>85</v>
      </c>
      <c r="S122" s="92" t="b">
        <v>1</v>
      </c>
      <c r="T122" s="100">
        <v>1</v>
      </c>
      <c r="U122" s="100">
        <v>8.3984371252854282E+18</v>
      </c>
      <c r="V122" s="100"/>
    </row>
    <row r="123" spans="4:22" ht="15" customHeight="1">
      <c r="D123" s="98" t="b">
        <v>0</v>
      </c>
      <c r="E123" s="93">
        <v>0</v>
      </c>
      <c r="F123" s="91">
        <v>3</v>
      </c>
      <c r="G123" s="91" t="s">
        <v>74</v>
      </c>
      <c r="H123" s="92">
        <v>2</v>
      </c>
      <c r="I123" s="92">
        <v>4</v>
      </c>
      <c r="J123" s="92">
        <v>1</v>
      </c>
      <c r="K123" s="92">
        <v>29.125</v>
      </c>
      <c r="L123" s="92" t="s">
        <v>86</v>
      </c>
      <c r="M123" s="92" t="s">
        <v>76</v>
      </c>
      <c r="N123" s="92" t="s">
        <v>89</v>
      </c>
      <c r="O123" s="92" t="b">
        <v>0</v>
      </c>
      <c r="P123" s="92"/>
      <c r="Q123" s="92" t="s">
        <v>87</v>
      </c>
      <c r="R123" s="92" t="s">
        <v>80</v>
      </c>
      <c r="S123" s="92" t="b">
        <v>0</v>
      </c>
      <c r="T123" s="100">
        <v>1</v>
      </c>
      <c r="U123" s="100">
        <v>5.7970489339878113E+18</v>
      </c>
      <c r="V123" s="100"/>
    </row>
    <row r="124" spans="4:22" ht="15" customHeight="1">
      <c r="D124" s="98" t="b">
        <v>0</v>
      </c>
      <c r="E124" s="93">
        <v>1</v>
      </c>
      <c r="F124" s="91">
        <v>2</v>
      </c>
      <c r="G124" s="91" t="s">
        <v>74</v>
      </c>
      <c r="H124" s="92"/>
      <c r="I124" s="92">
        <v>0</v>
      </c>
      <c r="J124" s="92">
        <v>0</v>
      </c>
      <c r="K124" s="92">
        <v>13</v>
      </c>
      <c r="L124" s="92" t="s">
        <v>75</v>
      </c>
      <c r="M124" s="92" t="s">
        <v>90</v>
      </c>
      <c r="N124" s="92" t="s">
        <v>77</v>
      </c>
      <c r="O124" s="92" t="b">
        <v>1</v>
      </c>
      <c r="P124" s="92"/>
      <c r="Q124" s="92" t="s">
        <v>79</v>
      </c>
      <c r="R124" s="92" t="s">
        <v>85</v>
      </c>
      <c r="S124" s="92" t="b">
        <v>1</v>
      </c>
      <c r="T124" s="100">
        <v>1</v>
      </c>
      <c r="U124" s="100">
        <v>4.4107138517214317E+17</v>
      </c>
      <c r="V124" s="100"/>
    </row>
    <row r="125" spans="4:22" ht="15" customHeight="1">
      <c r="D125" s="98" t="b">
        <v>0</v>
      </c>
      <c r="E125" s="93">
        <v>0</v>
      </c>
      <c r="F125" s="91">
        <v>3</v>
      </c>
      <c r="G125" s="91" t="s">
        <v>81</v>
      </c>
      <c r="H125" s="92">
        <v>31</v>
      </c>
      <c r="I125" s="92">
        <v>1</v>
      </c>
      <c r="J125" s="92">
        <v>0</v>
      </c>
      <c r="K125" s="92">
        <v>18</v>
      </c>
      <c r="L125" s="92" t="s">
        <v>75</v>
      </c>
      <c r="M125" s="92" t="s">
        <v>76</v>
      </c>
      <c r="N125" s="92" t="s">
        <v>83</v>
      </c>
      <c r="O125" s="92" t="b">
        <v>0</v>
      </c>
      <c r="P125" s="92"/>
      <c r="Q125" s="92" t="s">
        <v>79</v>
      </c>
      <c r="R125" s="92" t="s">
        <v>80</v>
      </c>
      <c r="S125" s="92" t="b">
        <v>0</v>
      </c>
      <c r="T125" s="100">
        <v>1</v>
      </c>
      <c r="U125" s="100">
        <v>1.2560372851262714E+19</v>
      </c>
      <c r="V125" s="100"/>
    </row>
    <row r="126" spans="4:22" ht="15" customHeight="1">
      <c r="D126" s="98" t="b">
        <v>0</v>
      </c>
      <c r="E126" s="93">
        <v>1</v>
      </c>
      <c r="F126" s="91">
        <v>3</v>
      </c>
      <c r="G126" s="91" t="s">
        <v>81</v>
      </c>
      <c r="H126" s="92"/>
      <c r="I126" s="92">
        <v>0</v>
      </c>
      <c r="J126" s="92">
        <v>0</v>
      </c>
      <c r="K126" s="92">
        <v>7.2249999999999996</v>
      </c>
      <c r="L126" s="92" t="s">
        <v>78</v>
      </c>
      <c r="M126" s="92" t="s">
        <v>76</v>
      </c>
      <c r="N126" s="92" t="s">
        <v>83</v>
      </c>
      <c r="O126" s="92" t="b">
        <v>0</v>
      </c>
      <c r="P126" s="92"/>
      <c r="Q126" s="92" t="s">
        <v>84</v>
      </c>
      <c r="R126" s="92" t="s">
        <v>85</v>
      </c>
      <c r="S126" s="92" t="b">
        <v>1</v>
      </c>
      <c r="T126" s="100">
        <v>1</v>
      </c>
      <c r="U126" s="100">
        <v>7175879502652705</v>
      </c>
      <c r="V126" s="100"/>
    </row>
    <row r="127" spans="4:22" ht="15" customHeight="1">
      <c r="D127" s="98" t="b">
        <v>0</v>
      </c>
      <c r="E127" s="93">
        <v>0</v>
      </c>
      <c r="F127" s="91">
        <v>2</v>
      </c>
      <c r="G127" s="91" t="s">
        <v>74</v>
      </c>
      <c r="H127" s="92">
        <v>35</v>
      </c>
      <c r="I127" s="92">
        <v>0</v>
      </c>
      <c r="J127" s="92">
        <v>0</v>
      </c>
      <c r="K127" s="92">
        <v>26</v>
      </c>
      <c r="L127" s="92" t="s">
        <v>75</v>
      </c>
      <c r="M127" s="92" t="s">
        <v>90</v>
      </c>
      <c r="N127" s="92" t="s">
        <v>77</v>
      </c>
      <c r="O127" s="92" t="b">
        <v>1</v>
      </c>
      <c r="P127" s="92"/>
      <c r="Q127" s="92" t="s">
        <v>79</v>
      </c>
      <c r="R127" s="92" t="s">
        <v>80</v>
      </c>
      <c r="S127" s="92" t="b">
        <v>1</v>
      </c>
      <c r="T127" s="100">
        <v>1</v>
      </c>
      <c r="U127" s="100">
        <v>5.5425548540045076E+18</v>
      </c>
      <c r="V127" s="100"/>
    </row>
    <row r="128" spans="4:22" ht="15" customHeight="1">
      <c r="D128" s="98" t="b">
        <v>0</v>
      </c>
      <c r="E128" s="93">
        <v>1</v>
      </c>
      <c r="F128" s="91">
        <v>2</v>
      </c>
      <c r="G128" s="91" t="s">
        <v>74</v>
      </c>
      <c r="H128" s="92">
        <v>34</v>
      </c>
      <c r="I128" s="92">
        <v>0</v>
      </c>
      <c r="J128" s="92">
        <v>0</v>
      </c>
      <c r="K128" s="92">
        <v>13</v>
      </c>
      <c r="L128" s="92" t="s">
        <v>75</v>
      </c>
      <c r="M128" s="92" t="s">
        <v>90</v>
      </c>
      <c r="N128" s="92" t="s">
        <v>77</v>
      </c>
      <c r="O128" s="92" t="b">
        <v>1</v>
      </c>
      <c r="P128" s="92" t="s">
        <v>92</v>
      </c>
      <c r="Q128" s="92" t="s">
        <v>79</v>
      </c>
      <c r="R128" s="92" t="s">
        <v>85</v>
      </c>
      <c r="S128" s="92" t="b">
        <v>1</v>
      </c>
      <c r="T128" s="100">
        <v>0</v>
      </c>
      <c r="U128" s="100">
        <v>7.830941232059092E+18</v>
      </c>
      <c r="V128" s="100"/>
    </row>
    <row r="129" spans="4:22" ht="15" customHeight="1">
      <c r="D129" s="98" t="b">
        <v>0</v>
      </c>
      <c r="E129" s="93">
        <v>1</v>
      </c>
      <c r="F129" s="91">
        <v>3</v>
      </c>
      <c r="G129" s="91" t="s">
        <v>81</v>
      </c>
      <c r="H129" s="92">
        <v>15</v>
      </c>
      <c r="I129" s="92">
        <v>0</v>
      </c>
      <c r="J129" s="92">
        <v>0</v>
      </c>
      <c r="K129" s="92">
        <v>8.0291999999999994</v>
      </c>
      <c r="L129" s="92" t="s">
        <v>86</v>
      </c>
      <c r="M129" s="92" t="s">
        <v>76</v>
      </c>
      <c r="N129" s="92" t="s">
        <v>89</v>
      </c>
      <c r="O129" s="92" t="b">
        <v>0</v>
      </c>
      <c r="P129" s="92"/>
      <c r="Q129" s="92" t="s">
        <v>87</v>
      </c>
      <c r="R129" s="92" t="s">
        <v>85</v>
      </c>
      <c r="S129" s="92" t="b">
        <v>1</v>
      </c>
      <c r="T129" s="100">
        <v>1</v>
      </c>
      <c r="U129" s="100">
        <v>2.2878946370695183E+18</v>
      </c>
      <c r="V129" s="100"/>
    </row>
    <row r="130" spans="4:22" ht="15" customHeight="1">
      <c r="D130" s="98" t="b">
        <v>0</v>
      </c>
      <c r="E130" s="93">
        <v>1</v>
      </c>
      <c r="F130" s="91">
        <v>1</v>
      </c>
      <c r="G130" s="91" t="s">
        <v>74</v>
      </c>
      <c r="H130" s="92">
        <v>28</v>
      </c>
      <c r="I130" s="92">
        <v>0</v>
      </c>
      <c r="J130" s="92">
        <v>0</v>
      </c>
      <c r="K130" s="92">
        <v>35.5</v>
      </c>
      <c r="L130" s="92" t="s">
        <v>75</v>
      </c>
      <c r="M130" s="92" t="s">
        <v>82</v>
      </c>
      <c r="N130" s="92" t="s">
        <v>77</v>
      </c>
      <c r="O130" s="92" t="b">
        <v>1</v>
      </c>
      <c r="P130" s="92" t="s">
        <v>93</v>
      </c>
      <c r="Q130" s="92" t="s">
        <v>79</v>
      </c>
      <c r="R130" s="92" t="s">
        <v>85</v>
      </c>
      <c r="S130" s="92" t="b">
        <v>1</v>
      </c>
      <c r="T130" s="100">
        <v>0</v>
      </c>
      <c r="U130" s="100">
        <v>1.4008455695268991E+19</v>
      </c>
      <c r="V130" s="100"/>
    </row>
    <row r="131" spans="4:22" ht="15" customHeight="1">
      <c r="D131" s="98" t="b">
        <v>0</v>
      </c>
      <c r="E131" s="93">
        <v>0</v>
      </c>
      <c r="F131" s="91">
        <v>3</v>
      </c>
      <c r="G131" s="91" t="s">
        <v>81</v>
      </c>
      <c r="H131" s="92">
        <v>8</v>
      </c>
      <c r="I131" s="92">
        <v>3</v>
      </c>
      <c r="J131" s="92">
        <v>1</v>
      </c>
      <c r="K131" s="92">
        <v>21.074999999999999</v>
      </c>
      <c r="L131" s="92" t="s">
        <v>75</v>
      </c>
      <c r="M131" s="92" t="s">
        <v>76</v>
      </c>
      <c r="N131" s="92" t="s">
        <v>89</v>
      </c>
      <c r="O131" s="92" t="b">
        <v>0</v>
      </c>
      <c r="P131" s="92"/>
      <c r="Q131" s="92" t="s">
        <v>79</v>
      </c>
      <c r="R131" s="92" t="s">
        <v>80</v>
      </c>
      <c r="S131" s="92" t="b">
        <v>0</v>
      </c>
      <c r="T131" s="100">
        <v>1</v>
      </c>
      <c r="U131" s="100">
        <v>1.7842987151014533E+19</v>
      </c>
      <c r="V131" s="100"/>
    </row>
    <row r="132" spans="4:22" ht="15" customHeight="1">
      <c r="D132" s="98" t="b">
        <v>0</v>
      </c>
      <c r="E132" s="93">
        <v>1</v>
      </c>
      <c r="F132" s="91">
        <v>3</v>
      </c>
      <c r="G132" s="91" t="s">
        <v>81</v>
      </c>
      <c r="H132" s="92">
        <v>38</v>
      </c>
      <c r="I132" s="92">
        <v>1</v>
      </c>
      <c r="J132" s="92">
        <v>5</v>
      </c>
      <c r="K132" s="92">
        <v>31.387499999999999</v>
      </c>
      <c r="L132" s="92" t="s">
        <v>75</v>
      </c>
      <c r="M132" s="92" t="s">
        <v>76</v>
      </c>
      <c r="N132" s="92" t="s">
        <v>83</v>
      </c>
      <c r="O132" s="92" t="b">
        <v>0</v>
      </c>
      <c r="P132" s="92"/>
      <c r="Q132" s="92" t="s">
        <v>79</v>
      </c>
      <c r="R132" s="92" t="s">
        <v>85</v>
      </c>
      <c r="S132" s="92" t="b">
        <v>0</v>
      </c>
      <c r="T132" s="100">
        <v>1</v>
      </c>
      <c r="U132" s="100">
        <v>8.3755476417506345E+18</v>
      </c>
      <c r="V132" s="100"/>
    </row>
    <row r="133" spans="4:22" ht="15" customHeight="1">
      <c r="D133" s="98" t="b">
        <v>0</v>
      </c>
      <c r="E133" s="93">
        <v>0</v>
      </c>
      <c r="F133" s="91">
        <v>3</v>
      </c>
      <c r="G133" s="91" t="s">
        <v>74</v>
      </c>
      <c r="H133" s="92"/>
      <c r="I133" s="92">
        <v>0</v>
      </c>
      <c r="J133" s="92">
        <v>0</v>
      </c>
      <c r="K133" s="92">
        <v>7.2249999999999996</v>
      </c>
      <c r="L133" s="92" t="s">
        <v>78</v>
      </c>
      <c r="M133" s="92" t="s">
        <v>76</v>
      </c>
      <c r="N133" s="92" t="s">
        <v>77</v>
      </c>
      <c r="O133" s="92" t="b">
        <v>1</v>
      </c>
      <c r="P133" s="92"/>
      <c r="Q133" s="92" t="s">
        <v>84</v>
      </c>
      <c r="R133" s="92" t="s">
        <v>80</v>
      </c>
      <c r="S133" s="92" t="b">
        <v>1</v>
      </c>
      <c r="T133" s="100">
        <v>1</v>
      </c>
      <c r="U133" s="100">
        <v>4.2150475999644298E+18</v>
      </c>
      <c r="V133" s="100"/>
    </row>
    <row r="134" spans="4:22" ht="15" customHeight="1">
      <c r="D134" s="98" t="b">
        <v>0</v>
      </c>
      <c r="E134" s="93">
        <v>0</v>
      </c>
      <c r="F134" s="91">
        <v>1</v>
      </c>
      <c r="G134" s="91" t="s">
        <v>74</v>
      </c>
      <c r="H134" s="92">
        <v>19</v>
      </c>
      <c r="I134" s="92">
        <v>3</v>
      </c>
      <c r="J134" s="92">
        <v>2</v>
      </c>
      <c r="K134" s="92">
        <v>263</v>
      </c>
      <c r="L134" s="92" t="s">
        <v>75</v>
      </c>
      <c r="M134" s="92" t="s">
        <v>82</v>
      </c>
      <c r="N134" s="92" t="s">
        <v>77</v>
      </c>
      <c r="O134" s="92" t="b">
        <v>1</v>
      </c>
      <c r="P134" s="92" t="s">
        <v>78</v>
      </c>
      <c r="Q134" s="92" t="s">
        <v>79</v>
      </c>
      <c r="R134" s="92" t="s">
        <v>80</v>
      </c>
      <c r="S134" s="92" t="b">
        <v>0</v>
      </c>
      <c r="T134" s="100">
        <v>0</v>
      </c>
      <c r="U134" s="100">
        <v>2.0662928695045445E+18</v>
      </c>
      <c r="V134" s="100"/>
    </row>
    <row r="135" spans="4:22" ht="15" customHeight="1">
      <c r="D135" s="98" t="b">
        <v>0</v>
      </c>
      <c r="E135" s="93">
        <v>1</v>
      </c>
      <c r="F135" s="91">
        <v>3</v>
      </c>
      <c r="G135" s="91" t="s">
        <v>81</v>
      </c>
      <c r="H135" s="92"/>
      <c r="I135" s="92">
        <v>0</v>
      </c>
      <c r="J135" s="92">
        <v>0</v>
      </c>
      <c r="K135" s="92">
        <v>7.8792</v>
      </c>
      <c r="L135" s="92" t="s">
        <v>86</v>
      </c>
      <c r="M135" s="92" t="s">
        <v>76</v>
      </c>
      <c r="N135" s="92" t="s">
        <v>83</v>
      </c>
      <c r="O135" s="92" t="b">
        <v>0</v>
      </c>
      <c r="P135" s="92"/>
      <c r="Q135" s="92" t="s">
        <v>87</v>
      </c>
      <c r="R135" s="92" t="s">
        <v>85</v>
      </c>
      <c r="S135" s="92" t="b">
        <v>1</v>
      </c>
      <c r="T135" s="100">
        <v>1</v>
      </c>
      <c r="U135" s="100">
        <v>1.5101224978838079E+19</v>
      </c>
      <c r="V135" s="100"/>
    </row>
    <row r="136" spans="4:22" ht="15" customHeight="1">
      <c r="D136" s="98" t="b">
        <v>0</v>
      </c>
      <c r="E136" s="93">
        <v>0</v>
      </c>
      <c r="F136" s="91">
        <v>3</v>
      </c>
      <c r="G136" s="91" t="s">
        <v>74</v>
      </c>
      <c r="H136" s="92"/>
      <c r="I136" s="92">
        <v>0</v>
      </c>
      <c r="J136" s="92">
        <v>0</v>
      </c>
      <c r="K136" s="92">
        <v>7.8958000000000004</v>
      </c>
      <c r="L136" s="92" t="s">
        <v>75</v>
      </c>
      <c r="M136" s="92" t="s">
        <v>76</v>
      </c>
      <c r="N136" s="92" t="s">
        <v>77</v>
      </c>
      <c r="O136" s="92" t="b">
        <v>1</v>
      </c>
      <c r="P136" s="92"/>
      <c r="Q136" s="92" t="s">
        <v>79</v>
      </c>
      <c r="R136" s="92" t="s">
        <v>80</v>
      </c>
      <c r="S136" s="92" t="b">
        <v>1</v>
      </c>
      <c r="T136" s="100">
        <v>1</v>
      </c>
      <c r="U136" s="100">
        <v>9.9740171854948762E+18</v>
      </c>
      <c r="V136" s="100"/>
    </row>
    <row r="137" spans="4:22" ht="15" customHeight="1">
      <c r="D137" s="98" t="b">
        <v>0</v>
      </c>
      <c r="E137" s="93">
        <v>0</v>
      </c>
      <c r="F137" s="91">
        <v>1</v>
      </c>
      <c r="G137" s="91" t="s">
        <v>74</v>
      </c>
      <c r="H137" s="92">
        <v>40</v>
      </c>
      <c r="I137" s="92">
        <v>0</v>
      </c>
      <c r="J137" s="92">
        <v>0</v>
      </c>
      <c r="K137" s="92">
        <v>27.720800000000001</v>
      </c>
      <c r="L137" s="92" t="s">
        <v>78</v>
      </c>
      <c r="M137" s="92" t="s">
        <v>82</v>
      </c>
      <c r="N137" s="92" t="s">
        <v>77</v>
      </c>
      <c r="O137" s="92" t="b">
        <v>1</v>
      </c>
      <c r="P137" s="92"/>
      <c r="Q137" s="92" t="s">
        <v>84</v>
      </c>
      <c r="R137" s="92" t="s">
        <v>80</v>
      </c>
      <c r="S137" s="92" t="b">
        <v>1</v>
      </c>
      <c r="T137" s="100">
        <v>1</v>
      </c>
      <c r="U137" s="100">
        <v>1.3750388535917519E+19</v>
      </c>
      <c r="V137" s="100"/>
    </row>
    <row r="138" spans="4:22" ht="15" customHeight="1">
      <c r="D138" s="98" t="b">
        <v>0</v>
      </c>
      <c r="E138" s="93">
        <v>1</v>
      </c>
      <c r="F138" s="91">
        <v>1</v>
      </c>
      <c r="G138" s="91" t="s">
        <v>81</v>
      </c>
      <c r="H138" s="92"/>
      <c r="I138" s="92">
        <v>1</v>
      </c>
      <c r="J138" s="92">
        <v>0</v>
      </c>
      <c r="K138" s="92">
        <v>146.52080000000001</v>
      </c>
      <c r="L138" s="92" t="s">
        <v>78</v>
      </c>
      <c r="M138" s="92" t="s">
        <v>82</v>
      </c>
      <c r="N138" s="92" t="s">
        <v>83</v>
      </c>
      <c r="O138" s="92" t="b">
        <v>0</v>
      </c>
      <c r="P138" s="92" t="s">
        <v>94</v>
      </c>
      <c r="Q138" s="92" t="s">
        <v>84</v>
      </c>
      <c r="R138" s="92" t="s">
        <v>85</v>
      </c>
      <c r="S138" s="92" t="b">
        <v>0</v>
      </c>
      <c r="T138" s="100">
        <v>1</v>
      </c>
      <c r="U138" s="100">
        <v>1.1314843172370088E+19</v>
      </c>
      <c r="V138" s="100"/>
    </row>
    <row r="139" spans="4:22" ht="15" customHeight="1">
      <c r="D139" s="98" t="b">
        <v>0</v>
      </c>
      <c r="E139" s="93">
        <v>1</v>
      </c>
      <c r="F139" s="91">
        <v>3</v>
      </c>
      <c r="G139" s="91" t="s">
        <v>81</v>
      </c>
      <c r="H139" s="92"/>
      <c r="I139" s="92">
        <v>0</v>
      </c>
      <c r="J139" s="92">
        <v>0</v>
      </c>
      <c r="K139" s="92">
        <v>7.75</v>
      </c>
      <c r="L139" s="92" t="s">
        <v>86</v>
      </c>
      <c r="M139" s="92" t="s">
        <v>76</v>
      </c>
      <c r="N139" s="92" t="s">
        <v>83</v>
      </c>
      <c r="O139" s="92" t="b">
        <v>0</v>
      </c>
      <c r="P139" s="92"/>
      <c r="Q139" s="92" t="s">
        <v>87</v>
      </c>
      <c r="R139" s="92" t="s">
        <v>85</v>
      </c>
      <c r="S139" s="92" t="b">
        <v>1</v>
      </c>
      <c r="T139" s="100">
        <v>1</v>
      </c>
      <c r="U139" s="100">
        <v>9.0824774226500116E+18</v>
      </c>
      <c r="V139" s="100"/>
    </row>
    <row r="140" spans="4:22" ht="15" customHeight="1">
      <c r="D140" s="98" t="b">
        <v>0</v>
      </c>
      <c r="E140" s="93">
        <v>0</v>
      </c>
      <c r="F140" s="91">
        <v>2</v>
      </c>
      <c r="G140" s="91" t="s">
        <v>74</v>
      </c>
      <c r="H140" s="92">
        <v>66</v>
      </c>
      <c r="I140" s="92">
        <v>0</v>
      </c>
      <c r="J140" s="92">
        <v>0</v>
      </c>
      <c r="K140" s="92">
        <v>10.5</v>
      </c>
      <c r="L140" s="92" t="s">
        <v>75</v>
      </c>
      <c r="M140" s="92" t="s">
        <v>90</v>
      </c>
      <c r="N140" s="92" t="s">
        <v>77</v>
      </c>
      <c r="O140" s="92" t="b">
        <v>1</v>
      </c>
      <c r="P140" s="92"/>
      <c r="Q140" s="92" t="s">
        <v>79</v>
      </c>
      <c r="R140" s="92" t="s">
        <v>80</v>
      </c>
      <c r="S140" s="92" t="b">
        <v>1</v>
      </c>
      <c r="T140" s="100">
        <v>1</v>
      </c>
      <c r="U140" s="100">
        <v>1.13416234590954E+19</v>
      </c>
      <c r="V140" s="100"/>
    </row>
    <row r="141" spans="4:22" ht="15" customHeight="1">
      <c r="D141" s="98" t="b">
        <v>0</v>
      </c>
      <c r="E141" s="93">
        <v>0</v>
      </c>
      <c r="F141" s="91">
        <v>1</v>
      </c>
      <c r="G141" s="91" t="s">
        <v>74</v>
      </c>
      <c r="H141" s="92">
        <v>28</v>
      </c>
      <c r="I141" s="92">
        <v>1</v>
      </c>
      <c r="J141" s="92">
        <v>0</v>
      </c>
      <c r="K141" s="92">
        <v>82.1708</v>
      </c>
      <c r="L141" s="92" t="s">
        <v>78</v>
      </c>
      <c r="M141" s="92" t="s">
        <v>82</v>
      </c>
      <c r="N141" s="92" t="s">
        <v>77</v>
      </c>
      <c r="O141" s="92" t="b">
        <v>1</v>
      </c>
      <c r="P141" s="92"/>
      <c r="Q141" s="92" t="s">
        <v>84</v>
      </c>
      <c r="R141" s="92" t="s">
        <v>80</v>
      </c>
      <c r="S141" s="92" t="b">
        <v>0</v>
      </c>
      <c r="T141" s="100">
        <v>1</v>
      </c>
      <c r="U141" s="100">
        <v>1.3209708052455533E+19</v>
      </c>
      <c r="V141" s="100"/>
    </row>
    <row r="142" spans="4:22" ht="15" customHeight="1">
      <c r="D142" s="98" t="b">
        <v>0</v>
      </c>
      <c r="E142" s="93">
        <v>0</v>
      </c>
      <c r="F142" s="91">
        <v>1</v>
      </c>
      <c r="G142" s="91" t="s">
        <v>74</v>
      </c>
      <c r="H142" s="92">
        <v>42</v>
      </c>
      <c r="I142" s="92">
        <v>1</v>
      </c>
      <c r="J142" s="92">
        <v>0</v>
      </c>
      <c r="K142" s="92">
        <v>52</v>
      </c>
      <c r="L142" s="92" t="s">
        <v>75</v>
      </c>
      <c r="M142" s="92" t="s">
        <v>82</v>
      </c>
      <c r="N142" s="92" t="s">
        <v>77</v>
      </c>
      <c r="O142" s="92" t="b">
        <v>1</v>
      </c>
      <c r="P142" s="92"/>
      <c r="Q142" s="92" t="s">
        <v>79</v>
      </c>
      <c r="R142" s="92" t="s">
        <v>80</v>
      </c>
      <c r="S142" s="92" t="b">
        <v>0</v>
      </c>
      <c r="T142" s="100">
        <v>1</v>
      </c>
      <c r="U142" s="100">
        <v>1.8084174350532184E+19</v>
      </c>
      <c r="V142" s="100"/>
    </row>
    <row r="143" spans="4:22" ht="15" customHeight="1">
      <c r="D143" s="98" t="b">
        <v>0</v>
      </c>
      <c r="E143" s="93">
        <v>1</v>
      </c>
      <c r="F143" s="91">
        <v>3</v>
      </c>
      <c r="G143" s="91" t="s">
        <v>74</v>
      </c>
      <c r="H143" s="92"/>
      <c r="I143" s="92">
        <v>0</v>
      </c>
      <c r="J143" s="92">
        <v>0</v>
      </c>
      <c r="K143" s="92">
        <v>7.2291999999999996</v>
      </c>
      <c r="L143" s="92" t="s">
        <v>78</v>
      </c>
      <c r="M143" s="92" t="s">
        <v>76</v>
      </c>
      <c r="N143" s="92" t="s">
        <v>77</v>
      </c>
      <c r="O143" s="92" t="b">
        <v>1</v>
      </c>
      <c r="P143" s="92"/>
      <c r="Q143" s="92" t="s">
        <v>84</v>
      </c>
      <c r="R143" s="92" t="s">
        <v>85</v>
      </c>
      <c r="S143" s="92" t="b">
        <v>1</v>
      </c>
      <c r="T143" s="100">
        <v>1</v>
      </c>
      <c r="U143" s="100">
        <v>9.363459370882519E+18</v>
      </c>
      <c r="V143" s="100"/>
    </row>
    <row r="144" spans="4:22" ht="15" customHeight="1">
      <c r="D144" s="98" t="b">
        <v>0</v>
      </c>
      <c r="E144" s="93">
        <v>0</v>
      </c>
      <c r="F144" s="91">
        <v>3</v>
      </c>
      <c r="G144" s="91" t="s">
        <v>74</v>
      </c>
      <c r="H144" s="92">
        <v>21</v>
      </c>
      <c r="I144" s="92">
        <v>0</v>
      </c>
      <c r="J144" s="92">
        <v>0</v>
      </c>
      <c r="K144" s="92">
        <v>8.0500000000000007</v>
      </c>
      <c r="L144" s="92" t="s">
        <v>75</v>
      </c>
      <c r="M144" s="92" t="s">
        <v>76</v>
      </c>
      <c r="N144" s="92" t="s">
        <v>77</v>
      </c>
      <c r="O144" s="92" t="b">
        <v>1</v>
      </c>
      <c r="P144" s="92"/>
      <c r="Q144" s="92" t="s">
        <v>79</v>
      </c>
      <c r="R144" s="92" t="s">
        <v>80</v>
      </c>
      <c r="S144" s="92" t="b">
        <v>1</v>
      </c>
      <c r="T144" s="100">
        <v>1</v>
      </c>
      <c r="U144" s="100">
        <v>1.7818435785380915E+19</v>
      </c>
      <c r="V144" s="100"/>
    </row>
    <row r="145" spans="4:22" ht="15" customHeight="1">
      <c r="D145" s="98" t="b">
        <v>0</v>
      </c>
      <c r="E145" s="93">
        <v>0</v>
      </c>
      <c r="F145" s="91">
        <v>3</v>
      </c>
      <c r="G145" s="91" t="s">
        <v>81</v>
      </c>
      <c r="H145" s="92">
        <v>18</v>
      </c>
      <c r="I145" s="92">
        <v>2</v>
      </c>
      <c r="J145" s="92">
        <v>0</v>
      </c>
      <c r="K145" s="92">
        <v>18</v>
      </c>
      <c r="L145" s="92" t="s">
        <v>75</v>
      </c>
      <c r="M145" s="92" t="s">
        <v>76</v>
      </c>
      <c r="N145" s="92" t="s">
        <v>83</v>
      </c>
      <c r="O145" s="92" t="b">
        <v>0</v>
      </c>
      <c r="P145" s="92"/>
      <c r="Q145" s="92" t="s">
        <v>79</v>
      </c>
      <c r="R145" s="92" t="s">
        <v>80</v>
      </c>
      <c r="S145" s="92" t="b">
        <v>0</v>
      </c>
      <c r="T145" s="100">
        <v>1</v>
      </c>
      <c r="U145" s="100">
        <v>1.6673010533736563E+18</v>
      </c>
      <c r="V145" s="100"/>
    </row>
    <row r="146" spans="4:22" ht="15" customHeight="1">
      <c r="D146" s="98" t="b">
        <v>0</v>
      </c>
      <c r="E146" s="93">
        <v>1</v>
      </c>
      <c r="F146" s="91">
        <v>3</v>
      </c>
      <c r="G146" s="91" t="s">
        <v>81</v>
      </c>
      <c r="H146" s="92">
        <v>14</v>
      </c>
      <c r="I146" s="92">
        <v>1</v>
      </c>
      <c r="J146" s="92">
        <v>0</v>
      </c>
      <c r="K146" s="92">
        <v>11.2417</v>
      </c>
      <c r="L146" s="92" t="s">
        <v>78</v>
      </c>
      <c r="M146" s="92" t="s">
        <v>76</v>
      </c>
      <c r="N146" s="92" t="s">
        <v>89</v>
      </c>
      <c r="O146" s="92" t="b">
        <v>0</v>
      </c>
      <c r="P146" s="92"/>
      <c r="Q146" s="92" t="s">
        <v>84</v>
      </c>
      <c r="R146" s="92" t="s">
        <v>85</v>
      </c>
      <c r="S146" s="92" t="b">
        <v>0</v>
      </c>
      <c r="T146" s="100">
        <v>1</v>
      </c>
      <c r="U146" s="100">
        <v>2.5939914164584581E+18</v>
      </c>
      <c r="V146" s="100"/>
    </row>
    <row r="147" spans="4:22" ht="15" customHeight="1">
      <c r="D147" s="98" t="b">
        <v>0</v>
      </c>
      <c r="E147" s="93">
        <v>0</v>
      </c>
      <c r="F147" s="91">
        <v>3</v>
      </c>
      <c r="G147" s="91" t="s">
        <v>81</v>
      </c>
      <c r="H147" s="92">
        <v>40</v>
      </c>
      <c r="I147" s="92">
        <v>1</v>
      </c>
      <c r="J147" s="92">
        <v>0</v>
      </c>
      <c r="K147" s="92">
        <v>9.4749999999999996</v>
      </c>
      <c r="L147" s="92" t="s">
        <v>75</v>
      </c>
      <c r="M147" s="92" t="s">
        <v>76</v>
      </c>
      <c r="N147" s="92" t="s">
        <v>83</v>
      </c>
      <c r="O147" s="92" t="b">
        <v>0</v>
      </c>
      <c r="P147" s="92"/>
      <c r="Q147" s="92" t="s">
        <v>79</v>
      </c>
      <c r="R147" s="92" t="s">
        <v>80</v>
      </c>
      <c r="S147" s="92" t="b">
        <v>0</v>
      </c>
      <c r="T147" s="100">
        <v>1</v>
      </c>
      <c r="U147" s="100">
        <v>1.0542304019507577E+19</v>
      </c>
      <c r="V147" s="100"/>
    </row>
    <row r="148" spans="4:22" ht="15" customHeight="1">
      <c r="D148" s="98" t="b">
        <v>0</v>
      </c>
      <c r="E148" s="93">
        <v>0</v>
      </c>
      <c r="F148" s="91">
        <v>2</v>
      </c>
      <c r="G148" s="91" t="s">
        <v>81</v>
      </c>
      <c r="H148" s="92">
        <v>27</v>
      </c>
      <c r="I148" s="92">
        <v>1</v>
      </c>
      <c r="J148" s="92">
        <v>0</v>
      </c>
      <c r="K148" s="92">
        <v>21</v>
      </c>
      <c r="L148" s="92" t="s">
        <v>75</v>
      </c>
      <c r="M148" s="92" t="s">
        <v>90</v>
      </c>
      <c r="N148" s="92" t="s">
        <v>83</v>
      </c>
      <c r="O148" s="92" t="b">
        <v>0</v>
      </c>
      <c r="P148" s="92"/>
      <c r="Q148" s="92" t="s">
        <v>79</v>
      </c>
      <c r="R148" s="92" t="s">
        <v>80</v>
      </c>
      <c r="S148" s="92" t="b">
        <v>0</v>
      </c>
      <c r="T148" s="100">
        <v>1</v>
      </c>
      <c r="U148" s="100">
        <v>1.460037773439189E+19</v>
      </c>
      <c r="V148" s="100"/>
    </row>
    <row r="149" spans="4:22" ht="15" customHeight="1">
      <c r="D149" s="98" t="b">
        <v>0</v>
      </c>
      <c r="E149" s="93">
        <v>0</v>
      </c>
      <c r="F149" s="91">
        <v>3</v>
      </c>
      <c r="G149" s="91" t="s">
        <v>74</v>
      </c>
      <c r="H149" s="92"/>
      <c r="I149" s="92">
        <v>0</v>
      </c>
      <c r="J149" s="92">
        <v>0</v>
      </c>
      <c r="K149" s="92">
        <v>7.8958000000000004</v>
      </c>
      <c r="L149" s="92" t="s">
        <v>78</v>
      </c>
      <c r="M149" s="92" t="s">
        <v>76</v>
      </c>
      <c r="N149" s="92" t="s">
        <v>77</v>
      </c>
      <c r="O149" s="92" t="b">
        <v>1</v>
      </c>
      <c r="P149" s="92"/>
      <c r="Q149" s="92" t="s">
        <v>84</v>
      </c>
      <c r="R149" s="92" t="s">
        <v>80</v>
      </c>
      <c r="S149" s="92" t="b">
        <v>1</v>
      </c>
      <c r="T149" s="100">
        <v>1</v>
      </c>
      <c r="U149" s="100">
        <v>8.7246319171734496E+16</v>
      </c>
      <c r="V149" s="100"/>
    </row>
    <row r="150" spans="4:22" ht="15" customHeight="1">
      <c r="D150" s="98" t="b">
        <v>0</v>
      </c>
      <c r="E150" s="93">
        <v>1</v>
      </c>
      <c r="F150" s="91">
        <v>2</v>
      </c>
      <c r="G150" s="91" t="s">
        <v>81</v>
      </c>
      <c r="H150" s="92">
        <v>3</v>
      </c>
      <c r="I150" s="92">
        <v>1</v>
      </c>
      <c r="J150" s="92">
        <v>2</v>
      </c>
      <c r="K150" s="92">
        <v>41.5792</v>
      </c>
      <c r="L150" s="92" t="s">
        <v>78</v>
      </c>
      <c r="M150" s="92" t="s">
        <v>90</v>
      </c>
      <c r="N150" s="92" t="s">
        <v>89</v>
      </c>
      <c r="O150" s="92" t="b">
        <v>0</v>
      </c>
      <c r="P150" s="92"/>
      <c r="Q150" s="92" t="s">
        <v>84</v>
      </c>
      <c r="R150" s="92" t="s">
        <v>85</v>
      </c>
      <c r="S150" s="92" t="b">
        <v>0</v>
      </c>
      <c r="T150" s="100">
        <v>1</v>
      </c>
      <c r="U150" s="100">
        <v>6.72257343881267E+18</v>
      </c>
      <c r="V150" s="100"/>
    </row>
    <row r="151" spans="4:22" ht="15" customHeight="1">
      <c r="D151" s="98" t="b">
        <v>0</v>
      </c>
      <c r="E151" s="93">
        <v>1</v>
      </c>
      <c r="F151" s="91">
        <v>3</v>
      </c>
      <c r="G151" s="91" t="s">
        <v>81</v>
      </c>
      <c r="H151" s="92">
        <v>19</v>
      </c>
      <c r="I151" s="92">
        <v>0</v>
      </c>
      <c r="J151" s="92">
        <v>0</v>
      </c>
      <c r="K151" s="92">
        <v>7.8792</v>
      </c>
      <c r="L151" s="92" t="s">
        <v>86</v>
      </c>
      <c r="M151" s="92" t="s">
        <v>76</v>
      </c>
      <c r="N151" s="92" t="s">
        <v>83</v>
      </c>
      <c r="O151" s="92" t="b">
        <v>0</v>
      </c>
      <c r="P151" s="92"/>
      <c r="Q151" s="92" t="s">
        <v>87</v>
      </c>
      <c r="R151" s="92" t="s">
        <v>85</v>
      </c>
      <c r="S151" s="92" t="b">
        <v>1</v>
      </c>
      <c r="T151" s="100">
        <v>1</v>
      </c>
      <c r="U151" s="100">
        <v>1.6915167473079312E+19</v>
      </c>
      <c r="V151" s="100"/>
    </row>
    <row r="152" spans="4:22" ht="15" customHeight="1">
      <c r="D152" s="98" t="b">
        <v>0</v>
      </c>
      <c r="E152" s="93">
        <v>0</v>
      </c>
      <c r="F152" s="91">
        <v>3</v>
      </c>
      <c r="G152" s="91" t="s">
        <v>74</v>
      </c>
      <c r="H152" s="92"/>
      <c r="I152" s="92">
        <v>0</v>
      </c>
      <c r="J152" s="92">
        <v>0</v>
      </c>
      <c r="K152" s="92">
        <v>8.0500000000000007</v>
      </c>
      <c r="L152" s="92" t="s">
        <v>75</v>
      </c>
      <c r="M152" s="92" t="s">
        <v>76</v>
      </c>
      <c r="N152" s="92" t="s">
        <v>77</v>
      </c>
      <c r="O152" s="92" t="b">
        <v>1</v>
      </c>
      <c r="P152" s="92"/>
      <c r="Q152" s="92" t="s">
        <v>79</v>
      </c>
      <c r="R152" s="92" t="s">
        <v>80</v>
      </c>
      <c r="S152" s="92" t="b">
        <v>1</v>
      </c>
      <c r="T152" s="100">
        <v>1</v>
      </c>
      <c r="U152" s="100">
        <v>1.036563458869572E+19</v>
      </c>
      <c r="V152" s="100"/>
    </row>
    <row r="153" spans="4:22" ht="15" customHeight="1">
      <c r="D153" s="98" t="b">
        <v>0</v>
      </c>
      <c r="E153" s="93">
        <v>0</v>
      </c>
      <c r="F153" s="91">
        <v>3</v>
      </c>
      <c r="G153" s="91" t="s">
        <v>74</v>
      </c>
      <c r="H153" s="92"/>
      <c r="I153" s="92">
        <v>1</v>
      </c>
      <c r="J153" s="92">
        <v>0</v>
      </c>
      <c r="K153" s="92">
        <v>15.5</v>
      </c>
      <c r="L153" s="92" t="s">
        <v>86</v>
      </c>
      <c r="M153" s="92" t="s">
        <v>76</v>
      </c>
      <c r="N153" s="92" t="s">
        <v>77</v>
      </c>
      <c r="O153" s="92" t="b">
        <v>1</v>
      </c>
      <c r="P153" s="92"/>
      <c r="Q153" s="92" t="s">
        <v>87</v>
      </c>
      <c r="R153" s="92" t="s">
        <v>80</v>
      </c>
      <c r="S153" s="92" t="b">
        <v>0</v>
      </c>
      <c r="T153" s="100">
        <v>1</v>
      </c>
      <c r="U153" s="100">
        <v>1.0634231198824208E+19</v>
      </c>
      <c r="V153" s="100"/>
    </row>
    <row r="154" spans="4:22" ht="15" customHeight="1">
      <c r="D154" s="98" t="b">
        <v>0</v>
      </c>
      <c r="E154" s="93">
        <v>1</v>
      </c>
      <c r="F154" s="91">
        <v>3</v>
      </c>
      <c r="G154" s="91" t="s">
        <v>81</v>
      </c>
      <c r="H154" s="92"/>
      <c r="I154" s="92">
        <v>0</v>
      </c>
      <c r="J154" s="92">
        <v>0</v>
      </c>
      <c r="K154" s="92">
        <v>7.75</v>
      </c>
      <c r="L154" s="92" t="s">
        <v>86</v>
      </c>
      <c r="M154" s="92" t="s">
        <v>76</v>
      </c>
      <c r="N154" s="92" t="s">
        <v>83</v>
      </c>
      <c r="O154" s="92" t="b">
        <v>0</v>
      </c>
      <c r="P154" s="92"/>
      <c r="Q154" s="92" t="s">
        <v>87</v>
      </c>
      <c r="R154" s="92" t="s">
        <v>85</v>
      </c>
      <c r="S154" s="92" t="b">
        <v>1</v>
      </c>
      <c r="T154" s="100">
        <v>1</v>
      </c>
      <c r="U154" s="100">
        <v>9.0824774226500116E+18</v>
      </c>
      <c r="V154" s="100"/>
    </row>
    <row r="155" spans="4:22" ht="15" customHeight="1">
      <c r="D155" s="98" t="b">
        <v>0</v>
      </c>
      <c r="E155" s="93">
        <v>0</v>
      </c>
      <c r="F155" s="91">
        <v>3</v>
      </c>
      <c r="G155" s="91" t="s">
        <v>74</v>
      </c>
      <c r="H155" s="92"/>
      <c r="I155" s="92">
        <v>2</v>
      </c>
      <c r="J155" s="92">
        <v>0</v>
      </c>
      <c r="K155" s="92">
        <v>21.679200000000002</v>
      </c>
      <c r="L155" s="92" t="s">
        <v>78</v>
      </c>
      <c r="M155" s="92" t="s">
        <v>76</v>
      </c>
      <c r="N155" s="92" t="s">
        <v>77</v>
      </c>
      <c r="O155" s="92" t="b">
        <v>1</v>
      </c>
      <c r="P155" s="92"/>
      <c r="Q155" s="92" t="s">
        <v>84</v>
      </c>
      <c r="R155" s="92" t="s">
        <v>80</v>
      </c>
      <c r="S155" s="92" t="b">
        <v>0</v>
      </c>
      <c r="T155" s="100">
        <v>1</v>
      </c>
      <c r="U155" s="100">
        <v>3.8091293367161974E+18</v>
      </c>
      <c r="V155" s="100"/>
    </row>
    <row r="156" spans="4:22" ht="15" customHeight="1">
      <c r="D156" s="98" t="b">
        <v>0</v>
      </c>
      <c r="E156" s="93">
        <v>0</v>
      </c>
      <c r="F156" s="91">
        <v>3</v>
      </c>
      <c r="G156" s="91" t="s">
        <v>81</v>
      </c>
      <c r="H156" s="92">
        <v>18</v>
      </c>
      <c r="I156" s="92">
        <v>1</v>
      </c>
      <c r="J156" s="92">
        <v>0</v>
      </c>
      <c r="K156" s="92">
        <v>17.8</v>
      </c>
      <c r="L156" s="92" t="s">
        <v>75</v>
      </c>
      <c r="M156" s="92" t="s">
        <v>76</v>
      </c>
      <c r="N156" s="92" t="s">
        <v>83</v>
      </c>
      <c r="O156" s="92" t="b">
        <v>0</v>
      </c>
      <c r="P156" s="92"/>
      <c r="Q156" s="92" t="s">
        <v>79</v>
      </c>
      <c r="R156" s="92" t="s">
        <v>80</v>
      </c>
      <c r="S156" s="92" t="b">
        <v>0</v>
      </c>
      <c r="T156" s="100">
        <v>1</v>
      </c>
      <c r="U156" s="100">
        <v>6.4016758457845555E+18</v>
      </c>
      <c r="V156" s="100"/>
    </row>
    <row r="157" spans="4:22" ht="15" customHeight="1">
      <c r="D157" s="98" t="b">
        <v>0</v>
      </c>
      <c r="E157" s="93">
        <v>0</v>
      </c>
      <c r="F157" s="91">
        <v>3</v>
      </c>
      <c r="G157" s="91" t="s">
        <v>74</v>
      </c>
      <c r="H157" s="92">
        <v>7</v>
      </c>
      <c r="I157" s="92">
        <v>4</v>
      </c>
      <c r="J157" s="92">
        <v>1</v>
      </c>
      <c r="K157" s="92">
        <v>39.6875</v>
      </c>
      <c r="L157" s="92" t="s">
        <v>75</v>
      </c>
      <c r="M157" s="92" t="s">
        <v>76</v>
      </c>
      <c r="N157" s="92" t="s">
        <v>89</v>
      </c>
      <c r="O157" s="92" t="b">
        <v>0</v>
      </c>
      <c r="P157" s="92"/>
      <c r="Q157" s="92" t="s">
        <v>79</v>
      </c>
      <c r="R157" s="92" t="s">
        <v>80</v>
      </c>
      <c r="S157" s="92" t="b">
        <v>0</v>
      </c>
      <c r="T157" s="100">
        <v>1</v>
      </c>
      <c r="U157" s="100">
        <v>1.4048180836320688E+19</v>
      </c>
      <c r="V157" s="100"/>
    </row>
    <row r="158" spans="4:22" ht="15" customHeight="1">
      <c r="D158" s="98" t="b">
        <v>0</v>
      </c>
      <c r="E158" s="93">
        <v>0</v>
      </c>
      <c r="F158" s="91">
        <v>3</v>
      </c>
      <c r="G158" s="91" t="s">
        <v>74</v>
      </c>
      <c r="H158" s="92">
        <v>21</v>
      </c>
      <c r="I158" s="92">
        <v>0</v>
      </c>
      <c r="J158" s="92">
        <v>0</v>
      </c>
      <c r="K158" s="92">
        <v>7.8</v>
      </c>
      <c r="L158" s="92" t="s">
        <v>75</v>
      </c>
      <c r="M158" s="92" t="s">
        <v>76</v>
      </c>
      <c r="N158" s="92" t="s">
        <v>77</v>
      </c>
      <c r="O158" s="92" t="b">
        <v>1</v>
      </c>
      <c r="P158" s="92"/>
      <c r="Q158" s="92" t="s">
        <v>79</v>
      </c>
      <c r="R158" s="92" t="s">
        <v>80</v>
      </c>
      <c r="S158" s="92" t="b">
        <v>1</v>
      </c>
      <c r="T158" s="100">
        <v>1</v>
      </c>
      <c r="U158" s="100">
        <v>5.9535120237883228E+18</v>
      </c>
      <c r="V158" s="100"/>
    </row>
    <row r="159" spans="4:22" ht="15" customHeight="1">
      <c r="D159" s="98" t="b">
        <v>0</v>
      </c>
      <c r="E159" s="93">
        <v>1</v>
      </c>
      <c r="F159" s="91">
        <v>1</v>
      </c>
      <c r="G159" s="91" t="s">
        <v>81</v>
      </c>
      <c r="H159" s="92">
        <v>49</v>
      </c>
      <c r="I159" s="92">
        <v>1</v>
      </c>
      <c r="J159" s="92">
        <v>0</v>
      </c>
      <c r="K159" s="92">
        <v>76.729200000000006</v>
      </c>
      <c r="L159" s="92" t="s">
        <v>78</v>
      </c>
      <c r="M159" s="92" t="s">
        <v>82</v>
      </c>
      <c r="N159" s="92" t="s">
        <v>83</v>
      </c>
      <c r="O159" s="92" t="b">
        <v>0</v>
      </c>
      <c r="P159" s="92" t="s">
        <v>92</v>
      </c>
      <c r="Q159" s="92" t="s">
        <v>84</v>
      </c>
      <c r="R159" s="92" t="s">
        <v>85</v>
      </c>
      <c r="S159" s="92" t="b">
        <v>0</v>
      </c>
      <c r="T159" s="100">
        <v>0</v>
      </c>
      <c r="U159" s="100">
        <v>8.2327495870061312E+18</v>
      </c>
      <c r="V159" s="100"/>
    </row>
    <row r="160" spans="4:22" ht="15" customHeight="1">
      <c r="D160" s="98" t="b">
        <v>0</v>
      </c>
      <c r="E160" s="93">
        <v>1</v>
      </c>
      <c r="F160" s="91">
        <v>2</v>
      </c>
      <c r="G160" s="91" t="s">
        <v>81</v>
      </c>
      <c r="H160" s="92">
        <v>29</v>
      </c>
      <c r="I160" s="92">
        <v>1</v>
      </c>
      <c r="J160" s="92">
        <v>0</v>
      </c>
      <c r="K160" s="92">
        <v>26</v>
      </c>
      <c r="L160" s="92" t="s">
        <v>75</v>
      </c>
      <c r="M160" s="92" t="s">
        <v>90</v>
      </c>
      <c r="N160" s="92" t="s">
        <v>83</v>
      </c>
      <c r="O160" s="92" t="b">
        <v>0</v>
      </c>
      <c r="P160" s="92"/>
      <c r="Q160" s="92" t="s">
        <v>79</v>
      </c>
      <c r="R160" s="92" t="s">
        <v>85</v>
      </c>
      <c r="S160" s="92" t="b">
        <v>0</v>
      </c>
      <c r="T160" s="100">
        <v>1</v>
      </c>
      <c r="U160" s="100">
        <v>1.4697962808657678E+19</v>
      </c>
      <c r="V160" s="100"/>
    </row>
    <row r="161" spans="4:22" ht="15" customHeight="1">
      <c r="D161" s="98" t="b">
        <v>0</v>
      </c>
      <c r="E161" s="93">
        <v>0</v>
      </c>
      <c r="F161" s="91">
        <v>1</v>
      </c>
      <c r="G161" s="91" t="s">
        <v>74</v>
      </c>
      <c r="H161" s="92">
        <v>65</v>
      </c>
      <c r="I161" s="92">
        <v>0</v>
      </c>
      <c r="J161" s="92">
        <v>1</v>
      </c>
      <c r="K161" s="92">
        <v>61.979199999999999</v>
      </c>
      <c r="L161" s="92" t="s">
        <v>78</v>
      </c>
      <c r="M161" s="92" t="s">
        <v>82</v>
      </c>
      <c r="N161" s="92" t="s">
        <v>77</v>
      </c>
      <c r="O161" s="92" t="b">
        <v>1</v>
      </c>
      <c r="P161" s="92" t="s">
        <v>94</v>
      </c>
      <c r="Q161" s="92" t="s">
        <v>84</v>
      </c>
      <c r="R161" s="92" t="s">
        <v>80</v>
      </c>
      <c r="S161" s="92" t="b">
        <v>0</v>
      </c>
      <c r="T161" s="100">
        <v>0</v>
      </c>
      <c r="U161" s="100">
        <v>1.3872831127275995E+19</v>
      </c>
      <c r="V161" s="100"/>
    </row>
    <row r="162" spans="4:22" ht="15" customHeight="1">
      <c r="D162" s="98" t="b">
        <v>0</v>
      </c>
      <c r="E162" s="93">
        <v>1</v>
      </c>
      <c r="F162" s="91">
        <v>1</v>
      </c>
      <c r="G162" s="91" t="s">
        <v>74</v>
      </c>
      <c r="H162" s="92"/>
      <c r="I162" s="92">
        <v>0</v>
      </c>
      <c r="J162" s="92">
        <v>0</v>
      </c>
      <c r="K162" s="92">
        <v>35.5</v>
      </c>
      <c r="L162" s="92" t="s">
        <v>75</v>
      </c>
      <c r="M162" s="92" t="s">
        <v>82</v>
      </c>
      <c r="N162" s="92" t="s">
        <v>77</v>
      </c>
      <c r="O162" s="92" t="b">
        <v>1</v>
      </c>
      <c r="P162" s="92" t="s">
        <v>78</v>
      </c>
      <c r="Q162" s="92" t="s">
        <v>79</v>
      </c>
      <c r="R162" s="92" t="s">
        <v>85</v>
      </c>
      <c r="S162" s="92" t="b">
        <v>1</v>
      </c>
      <c r="T162" s="100">
        <v>1</v>
      </c>
      <c r="U162" s="100">
        <v>3.5370182309939758E+18</v>
      </c>
      <c r="V162" s="100"/>
    </row>
    <row r="163" spans="4:22" ht="15" customHeight="1">
      <c r="D163" s="98" t="b">
        <v>0</v>
      </c>
      <c r="E163" s="93">
        <v>1</v>
      </c>
      <c r="F163" s="91">
        <v>2</v>
      </c>
      <c r="G163" s="91" t="s">
        <v>81</v>
      </c>
      <c r="H163" s="92">
        <v>21</v>
      </c>
      <c r="I163" s="92">
        <v>0</v>
      </c>
      <c r="J163" s="92">
        <v>0</v>
      </c>
      <c r="K163" s="92">
        <v>10.5</v>
      </c>
      <c r="L163" s="92" t="s">
        <v>75</v>
      </c>
      <c r="M163" s="92" t="s">
        <v>90</v>
      </c>
      <c r="N163" s="92" t="s">
        <v>83</v>
      </c>
      <c r="O163" s="92" t="b">
        <v>0</v>
      </c>
      <c r="P163" s="92"/>
      <c r="Q163" s="92" t="s">
        <v>79</v>
      </c>
      <c r="R163" s="92" t="s">
        <v>85</v>
      </c>
      <c r="S163" s="92" t="b">
        <v>1</v>
      </c>
      <c r="T163" s="100">
        <v>1</v>
      </c>
      <c r="U163" s="100">
        <v>1.5234130871658138E+19</v>
      </c>
      <c r="V163" s="100"/>
    </row>
    <row r="164" spans="4:22" ht="15" customHeight="1">
      <c r="D164" s="98" t="b">
        <v>0</v>
      </c>
      <c r="E164" s="93">
        <v>1</v>
      </c>
      <c r="F164" s="91">
        <v>2</v>
      </c>
      <c r="G164" s="91" t="s">
        <v>81</v>
      </c>
      <c r="H164" s="92">
        <v>5</v>
      </c>
      <c r="I164" s="92">
        <v>1</v>
      </c>
      <c r="J164" s="92">
        <v>2</v>
      </c>
      <c r="K164" s="92">
        <v>27.75</v>
      </c>
      <c r="L164" s="92" t="s">
        <v>75</v>
      </c>
      <c r="M164" s="92" t="s">
        <v>90</v>
      </c>
      <c r="N164" s="92" t="s">
        <v>89</v>
      </c>
      <c r="O164" s="92" t="b">
        <v>0</v>
      </c>
      <c r="P164" s="92"/>
      <c r="Q164" s="92" t="s">
        <v>79</v>
      </c>
      <c r="R164" s="92" t="s">
        <v>85</v>
      </c>
      <c r="S164" s="92" t="b">
        <v>0</v>
      </c>
      <c r="T164" s="100">
        <v>1</v>
      </c>
      <c r="U164" s="100">
        <v>1.2890834764935645E+19</v>
      </c>
      <c r="V164" s="100"/>
    </row>
    <row r="165" spans="4:22" ht="15" customHeight="1">
      <c r="D165" s="98" t="b">
        <v>0</v>
      </c>
      <c r="E165" s="93">
        <v>0</v>
      </c>
      <c r="F165" s="91">
        <v>3</v>
      </c>
      <c r="G165" s="91" t="s">
        <v>74</v>
      </c>
      <c r="H165" s="92">
        <v>11</v>
      </c>
      <c r="I165" s="92">
        <v>5</v>
      </c>
      <c r="J165" s="92">
        <v>2</v>
      </c>
      <c r="K165" s="92">
        <v>46.9</v>
      </c>
      <c r="L165" s="92" t="s">
        <v>75</v>
      </c>
      <c r="M165" s="92" t="s">
        <v>76</v>
      </c>
      <c r="N165" s="92" t="s">
        <v>89</v>
      </c>
      <c r="O165" s="92" t="b">
        <v>0</v>
      </c>
      <c r="P165" s="92"/>
      <c r="Q165" s="92" t="s">
        <v>79</v>
      </c>
      <c r="R165" s="92" t="s">
        <v>80</v>
      </c>
      <c r="S165" s="92" t="b">
        <v>0</v>
      </c>
      <c r="T165" s="100">
        <v>1</v>
      </c>
      <c r="U165" s="100">
        <v>4.881665193174486E+18</v>
      </c>
      <c r="V165" s="100"/>
    </row>
    <row r="166" spans="4:22" ht="15" customHeight="1">
      <c r="D166" s="98" t="b">
        <v>0</v>
      </c>
      <c r="E166" s="93">
        <v>0</v>
      </c>
      <c r="F166" s="91">
        <v>3</v>
      </c>
      <c r="G166" s="91" t="s">
        <v>74</v>
      </c>
      <c r="H166" s="92">
        <v>22</v>
      </c>
      <c r="I166" s="92">
        <v>0</v>
      </c>
      <c r="J166" s="92">
        <v>0</v>
      </c>
      <c r="K166" s="92">
        <v>7.2291999999999996</v>
      </c>
      <c r="L166" s="92" t="s">
        <v>78</v>
      </c>
      <c r="M166" s="92" t="s">
        <v>76</v>
      </c>
      <c r="N166" s="92" t="s">
        <v>77</v>
      </c>
      <c r="O166" s="92" t="b">
        <v>1</v>
      </c>
      <c r="P166" s="92"/>
      <c r="Q166" s="92" t="s">
        <v>84</v>
      </c>
      <c r="R166" s="92" t="s">
        <v>80</v>
      </c>
      <c r="S166" s="92" t="b">
        <v>1</v>
      </c>
      <c r="T166" s="100">
        <v>1</v>
      </c>
      <c r="U166" s="100">
        <v>1.2474436630141682E+19</v>
      </c>
      <c r="V166" s="100"/>
    </row>
    <row r="167" spans="4:22" ht="15" customHeight="1">
      <c r="D167" s="98" t="b">
        <v>0</v>
      </c>
      <c r="E167" s="93">
        <v>1</v>
      </c>
      <c r="F167" s="91">
        <v>1</v>
      </c>
      <c r="G167" s="91" t="s">
        <v>81</v>
      </c>
      <c r="H167" s="92">
        <v>38</v>
      </c>
      <c r="I167" s="92">
        <v>0</v>
      </c>
      <c r="J167" s="92">
        <v>0</v>
      </c>
      <c r="K167" s="92">
        <v>80</v>
      </c>
      <c r="L167" s="92"/>
      <c r="M167" s="92" t="s">
        <v>82</v>
      </c>
      <c r="N167" s="92" t="s">
        <v>83</v>
      </c>
      <c r="O167" s="92" t="b">
        <v>0</v>
      </c>
      <c r="P167" s="92" t="s">
        <v>94</v>
      </c>
      <c r="Q167" s="92"/>
      <c r="R167" s="92" t="s">
        <v>85</v>
      </c>
      <c r="S167" s="92" t="b">
        <v>1</v>
      </c>
      <c r="T167" s="100">
        <v>1</v>
      </c>
      <c r="U167" s="100">
        <v>2.6622560400666568E+18</v>
      </c>
      <c r="V167" s="100"/>
    </row>
    <row r="168" spans="4:22" ht="15" customHeight="1">
      <c r="D168" s="98" t="b">
        <v>0</v>
      </c>
      <c r="E168" s="93">
        <v>0</v>
      </c>
      <c r="F168" s="91">
        <v>1</v>
      </c>
      <c r="G168" s="91" t="s">
        <v>74</v>
      </c>
      <c r="H168" s="92">
        <v>45</v>
      </c>
      <c r="I168" s="92">
        <v>1</v>
      </c>
      <c r="J168" s="92">
        <v>0</v>
      </c>
      <c r="K168" s="92">
        <v>83.474999999999994</v>
      </c>
      <c r="L168" s="92" t="s">
        <v>75</v>
      </c>
      <c r="M168" s="92" t="s">
        <v>82</v>
      </c>
      <c r="N168" s="92" t="s">
        <v>77</v>
      </c>
      <c r="O168" s="92" t="b">
        <v>1</v>
      </c>
      <c r="P168" s="92" t="s">
        <v>78</v>
      </c>
      <c r="Q168" s="92" t="s">
        <v>79</v>
      </c>
      <c r="R168" s="92" t="s">
        <v>80</v>
      </c>
      <c r="S168" s="92" t="b">
        <v>0</v>
      </c>
      <c r="T168" s="100">
        <v>0</v>
      </c>
      <c r="U168" s="100">
        <v>2.5792981434989885E+18</v>
      </c>
      <c r="V168" s="100"/>
    </row>
    <row r="169" spans="4:22" ht="15" customHeight="1">
      <c r="D169" s="98" t="b">
        <v>0</v>
      </c>
      <c r="E169" s="93">
        <v>0</v>
      </c>
      <c r="F169" s="91">
        <v>3</v>
      </c>
      <c r="G169" s="91" t="s">
        <v>74</v>
      </c>
      <c r="H169" s="92">
        <v>4</v>
      </c>
      <c r="I169" s="92">
        <v>3</v>
      </c>
      <c r="J169" s="92">
        <v>2</v>
      </c>
      <c r="K169" s="92">
        <v>27.9</v>
      </c>
      <c r="L169" s="92" t="s">
        <v>75</v>
      </c>
      <c r="M169" s="92" t="s">
        <v>76</v>
      </c>
      <c r="N169" s="92" t="s">
        <v>89</v>
      </c>
      <c r="O169" s="92" t="b">
        <v>0</v>
      </c>
      <c r="P169" s="92"/>
      <c r="Q169" s="92" t="s">
        <v>79</v>
      </c>
      <c r="R169" s="92" t="s">
        <v>80</v>
      </c>
      <c r="S169" s="92" t="b">
        <v>0</v>
      </c>
      <c r="T169" s="100">
        <v>1</v>
      </c>
      <c r="U169" s="100">
        <v>8.9074656190779453E+18</v>
      </c>
      <c r="V169" s="100"/>
    </row>
    <row r="170" spans="4:22" ht="15" customHeight="1">
      <c r="D170" s="98" t="b">
        <v>0</v>
      </c>
      <c r="E170" s="93">
        <v>0</v>
      </c>
      <c r="F170" s="91">
        <v>1</v>
      </c>
      <c r="G170" s="91" t="s">
        <v>74</v>
      </c>
      <c r="H170" s="92"/>
      <c r="I170" s="92">
        <v>0</v>
      </c>
      <c r="J170" s="92">
        <v>0</v>
      </c>
      <c r="K170" s="92">
        <v>27.720800000000001</v>
      </c>
      <c r="L170" s="92" t="s">
        <v>78</v>
      </c>
      <c r="M170" s="92" t="s">
        <v>82</v>
      </c>
      <c r="N170" s="92" t="s">
        <v>77</v>
      </c>
      <c r="O170" s="92" t="b">
        <v>1</v>
      </c>
      <c r="P170" s="92"/>
      <c r="Q170" s="92" t="s">
        <v>84</v>
      </c>
      <c r="R170" s="92" t="s">
        <v>80</v>
      </c>
      <c r="S170" s="92" t="b">
        <v>1</v>
      </c>
      <c r="T170" s="100">
        <v>1</v>
      </c>
      <c r="U170" s="100">
        <v>1.3941160181805535E+19</v>
      </c>
      <c r="V170" s="100"/>
    </row>
    <row r="171" spans="4:22" ht="15" customHeight="1">
      <c r="D171" s="98" t="b">
        <v>0</v>
      </c>
      <c r="E171" s="93">
        <v>1</v>
      </c>
      <c r="F171" s="91">
        <v>3</v>
      </c>
      <c r="G171" s="91" t="s">
        <v>74</v>
      </c>
      <c r="H171" s="92"/>
      <c r="I171" s="92">
        <v>1</v>
      </c>
      <c r="J171" s="92">
        <v>1</v>
      </c>
      <c r="K171" s="92">
        <v>15.245799999999999</v>
      </c>
      <c r="L171" s="92" t="s">
        <v>78</v>
      </c>
      <c r="M171" s="92" t="s">
        <v>76</v>
      </c>
      <c r="N171" s="92" t="s">
        <v>77</v>
      </c>
      <c r="O171" s="92" t="b">
        <v>1</v>
      </c>
      <c r="P171" s="92"/>
      <c r="Q171" s="92" t="s">
        <v>84</v>
      </c>
      <c r="R171" s="92" t="s">
        <v>85</v>
      </c>
      <c r="S171" s="92" t="b">
        <v>0</v>
      </c>
      <c r="T171" s="100">
        <v>1</v>
      </c>
      <c r="U171" s="100">
        <v>3.9929924944378711E+18</v>
      </c>
      <c r="V171" s="100"/>
    </row>
    <row r="172" spans="4:22" ht="15" customHeight="1">
      <c r="D172" s="98" t="b">
        <v>0</v>
      </c>
      <c r="E172" s="93">
        <v>1</v>
      </c>
      <c r="F172" s="91">
        <v>2</v>
      </c>
      <c r="G172" s="91" t="s">
        <v>81</v>
      </c>
      <c r="H172" s="92">
        <v>29</v>
      </c>
      <c r="I172" s="92">
        <v>0</v>
      </c>
      <c r="J172" s="92">
        <v>0</v>
      </c>
      <c r="K172" s="92">
        <v>10.5</v>
      </c>
      <c r="L172" s="92" t="s">
        <v>75</v>
      </c>
      <c r="M172" s="92" t="s">
        <v>90</v>
      </c>
      <c r="N172" s="92" t="s">
        <v>83</v>
      </c>
      <c r="O172" s="92" t="b">
        <v>0</v>
      </c>
      <c r="P172" s="92" t="s">
        <v>95</v>
      </c>
      <c r="Q172" s="92" t="s">
        <v>79</v>
      </c>
      <c r="R172" s="92" t="s">
        <v>85</v>
      </c>
      <c r="S172" s="92" t="b">
        <v>1</v>
      </c>
      <c r="T172" s="100">
        <v>0</v>
      </c>
      <c r="U172" s="100">
        <v>1.1147807441789456E+19</v>
      </c>
      <c r="V172" s="100"/>
    </row>
    <row r="173" spans="4:22" ht="15" customHeight="1">
      <c r="D173" s="98" t="b">
        <v>0</v>
      </c>
      <c r="E173" s="93">
        <v>0</v>
      </c>
      <c r="F173" s="91">
        <v>3</v>
      </c>
      <c r="G173" s="91" t="s">
        <v>74</v>
      </c>
      <c r="H173" s="92">
        <v>19</v>
      </c>
      <c r="I173" s="92">
        <v>0</v>
      </c>
      <c r="J173" s="92">
        <v>0</v>
      </c>
      <c r="K173" s="92">
        <v>8.1583000000000006</v>
      </c>
      <c r="L173" s="92" t="s">
        <v>75</v>
      </c>
      <c r="M173" s="92" t="s">
        <v>76</v>
      </c>
      <c r="N173" s="92" t="s">
        <v>77</v>
      </c>
      <c r="O173" s="92" t="b">
        <v>1</v>
      </c>
      <c r="P173" s="92"/>
      <c r="Q173" s="92" t="s">
        <v>79</v>
      </c>
      <c r="R173" s="92" t="s">
        <v>80</v>
      </c>
      <c r="S173" s="92" t="b">
        <v>1</v>
      </c>
      <c r="T173" s="100">
        <v>1</v>
      </c>
      <c r="U173" s="100">
        <v>1.1786256411759661E+19</v>
      </c>
      <c r="V173" s="100"/>
    </row>
    <row r="174" spans="4:22" ht="15" customHeight="1">
      <c r="D174" s="98" t="b">
        <v>0</v>
      </c>
      <c r="E174" s="93">
        <v>1</v>
      </c>
      <c r="F174" s="91">
        <v>3</v>
      </c>
      <c r="G174" s="91" t="s">
        <v>81</v>
      </c>
      <c r="H174" s="92">
        <v>17</v>
      </c>
      <c r="I174" s="92">
        <v>4</v>
      </c>
      <c r="J174" s="92">
        <v>2</v>
      </c>
      <c r="K174" s="92">
        <v>7.9249999999999998</v>
      </c>
      <c r="L174" s="92" t="s">
        <v>75</v>
      </c>
      <c r="M174" s="92" t="s">
        <v>76</v>
      </c>
      <c r="N174" s="92" t="s">
        <v>83</v>
      </c>
      <c r="O174" s="92" t="b">
        <v>0</v>
      </c>
      <c r="P174" s="92"/>
      <c r="Q174" s="92" t="s">
        <v>79</v>
      </c>
      <c r="R174" s="92" t="s">
        <v>85</v>
      </c>
      <c r="S174" s="92" t="b">
        <v>0</v>
      </c>
      <c r="T174" s="100">
        <v>1</v>
      </c>
      <c r="U174" s="100">
        <v>1.6562085759115508E+19</v>
      </c>
      <c r="V174" s="100"/>
    </row>
    <row r="175" spans="4:22" ht="15" customHeight="1">
      <c r="D175" s="98" t="b">
        <v>0</v>
      </c>
      <c r="E175" s="93">
        <v>0</v>
      </c>
      <c r="F175" s="91">
        <v>3</v>
      </c>
      <c r="G175" s="91" t="s">
        <v>74</v>
      </c>
      <c r="H175" s="92">
        <v>26</v>
      </c>
      <c r="I175" s="92">
        <v>2</v>
      </c>
      <c r="J175" s="92">
        <v>0</v>
      </c>
      <c r="K175" s="92">
        <v>8.6624999999999996</v>
      </c>
      <c r="L175" s="92" t="s">
        <v>75</v>
      </c>
      <c r="M175" s="92" t="s">
        <v>76</v>
      </c>
      <c r="N175" s="92" t="s">
        <v>77</v>
      </c>
      <c r="O175" s="92" t="b">
        <v>1</v>
      </c>
      <c r="P175" s="92"/>
      <c r="Q175" s="92" t="s">
        <v>79</v>
      </c>
      <c r="R175" s="92" t="s">
        <v>80</v>
      </c>
      <c r="S175" s="92" t="b">
        <v>0</v>
      </c>
      <c r="T175" s="100">
        <v>1</v>
      </c>
      <c r="U175" s="100">
        <v>4.9836111009052211E+18</v>
      </c>
      <c r="V175" s="100"/>
    </row>
    <row r="176" spans="4:22" ht="15" customHeight="1">
      <c r="D176" s="98" t="b">
        <v>0</v>
      </c>
      <c r="E176" s="93">
        <v>0</v>
      </c>
      <c r="F176" s="91">
        <v>2</v>
      </c>
      <c r="G176" s="91" t="s">
        <v>74</v>
      </c>
      <c r="H176" s="92">
        <v>32</v>
      </c>
      <c r="I176" s="92">
        <v>0</v>
      </c>
      <c r="J176" s="92">
        <v>0</v>
      </c>
      <c r="K176" s="92">
        <v>10.5</v>
      </c>
      <c r="L176" s="92" t="s">
        <v>75</v>
      </c>
      <c r="M176" s="92" t="s">
        <v>90</v>
      </c>
      <c r="N176" s="92" t="s">
        <v>77</v>
      </c>
      <c r="O176" s="92" t="b">
        <v>1</v>
      </c>
      <c r="P176" s="92"/>
      <c r="Q176" s="92" t="s">
        <v>79</v>
      </c>
      <c r="R176" s="92" t="s">
        <v>80</v>
      </c>
      <c r="S176" s="92" t="b">
        <v>1</v>
      </c>
      <c r="T176" s="100">
        <v>1</v>
      </c>
      <c r="U176" s="100">
        <v>1.7218929625093241E+19</v>
      </c>
      <c r="V176" s="100"/>
    </row>
    <row r="177" spans="4:22" ht="15" customHeight="1">
      <c r="D177" s="98" t="b">
        <v>0</v>
      </c>
      <c r="E177" s="93">
        <v>0</v>
      </c>
      <c r="F177" s="91">
        <v>3</v>
      </c>
      <c r="G177" s="91" t="s">
        <v>81</v>
      </c>
      <c r="H177" s="92">
        <v>16</v>
      </c>
      <c r="I177" s="92">
        <v>5</v>
      </c>
      <c r="J177" s="92">
        <v>2</v>
      </c>
      <c r="K177" s="92">
        <v>46.9</v>
      </c>
      <c r="L177" s="92" t="s">
        <v>75</v>
      </c>
      <c r="M177" s="92" t="s">
        <v>76</v>
      </c>
      <c r="N177" s="92" t="s">
        <v>83</v>
      </c>
      <c r="O177" s="92" t="b">
        <v>0</v>
      </c>
      <c r="P177" s="92"/>
      <c r="Q177" s="92" t="s">
        <v>79</v>
      </c>
      <c r="R177" s="92" t="s">
        <v>80</v>
      </c>
      <c r="S177" s="92" t="b">
        <v>0</v>
      </c>
      <c r="T177" s="100">
        <v>1</v>
      </c>
      <c r="U177" s="100">
        <v>1.0505102534950621E+19</v>
      </c>
      <c r="V177" s="100"/>
    </row>
    <row r="178" spans="4:22" ht="15" customHeight="1">
      <c r="D178" s="98" t="b">
        <v>0</v>
      </c>
      <c r="E178" s="93">
        <v>0</v>
      </c>
      <c r="F178" s="91">
        <v>2</v>
      </c>
      <c r="G178" s="91" t="s">
        <v>74</v>
      </c>
      <c r="H178" s="92">
        <v>21</v>
      </c>
      <c r="I178" s="92">
        <v>0</v>
      </c>
      <c r="J178" s="92">
        <v>0</v>
      </c>
      <c r="K178" s="92">
        <v>73.5</v>
      </c>
      <c r="L178" s="92" t="s">
        <v>75</v>
      </c>
      <c r="M178" s="92" t="s">
        <v>90</v>
      </c>
      <c r="N178" s="92" t="s">
        <v>77</v>
      </c>
      <c r="O178" s="92" t="b">
        <v>1</v>
      </c>
      <c r="P178" s="92"/>
      <c r="Q178" s="92" t="s">
        <v>79</v>
      </c>
      <c r="R178" s="92" t="s">
        <v>80</v>
      </c>
      <c r="S178" s="92" t="b">
        <v>1</v>
      </c>
      <c r="T178" s="100">
        <v>1</v>
      </c>
      <c r="U178" s="100">
        <v>1.0150066462487534E+19</v>
      </c>
      <c r="V178" s="100"/>
    </row>
    <row r="179" spans="4:22" ht="15" customHeight="1">
      <c r="D179" s="98" t="b">
        <v>0</v>
      </c>
      <c r="E179" s="93">
        <v>0</v>
      </c>
      <c r="F179" s="91">
        <v>3</v>
      </c>
      <c r="G179" s="91" t="s">
        <v>74</v>
      </c>
      <c r="H179" s="92">
        <v>26</v>
      </c>
      <c r="I179" s="92">
        <v>1</v>
      </c>
      <c r="J179" s="92">
        <v>0</v>
      </c>
      <c r="K179" s="92">
        <v>14.4542</v>
      </c>
      <c r="L179" s="92" t="s">
        <v>78</v>
      </c>
      <c r="M179" s="92" t="s">
        <v>76</v>
      </c>
      <c r="N179" s="92" t="s">
        <v>77</v>
      </c>
      <c r="O179" s="92" t="b">
        <v>1</v>
      </c>
      <c r="P179" s="92"/>
      <c r="Q179" s="92" t="s">
        <v>84</v>
      </c>
      <c r="R179" s="92" t="s">
        <v>80</v>
      </c>
      <c r="S179" s="92" t="b">
        <v>0</v>
      </c>
      <c r="T179" s="100">
        <v>1</v>
      </c>
      <c r="U179" s="100">
        <v>1.1348532612795963E+19</v>
      </c>
      <c r="V179" s="100"/>
    </row>
    <row r="180" spans="4:22" ht="15" customHeight="1">
      <c r="D180" s="98" t="b">
        <v>0</v>
      </c>
      <c r="E180" s="93">
        <v>1</v>
      </c>
      <c r="F180" s="91">
        <v>3</v>
      </c>
      <c r="G180" s="91" t="s">
        <v>74</v>
      </c>
      <c r="H180" s="92">
        <v>32</v>
      </c>
      <c r="I180" s="92">
        <v>0</v>
      </c>
      <c r="J180" s="92">
        <v>0</v>
      </c>
      <c r="K180" s="92">
        <v>56.495800000000003</v>
      </c>
      <c r="L180" s="92" t="s">
        <v>75</v>
      </c>
      <c r="M180" s="92" t="s">
        <v>76</v>
      </c>
      <c r="N180" s="92" t="s">
        <v>77</v>
      </c>
      <c r="O180" s="92" t="b">
        <v>1</v>
      </c>
      <c r="P180" s="92"/>
      <c r="Q180" s="92" t="s">
        <v>79</v>
      </c>
      <c r="R180" s="92" t="s">
        <v>85</v>
      </c>
      <c r="S180" s="92" t="b">
        <v>1</v>
      </c>
      <c r="T180" s="100">
        <v>1</v>
      </c>
      <c r="U180" s="100">
        <v>4.5033545377636659E+18</v>
      </c>
      <c r="V180" s="100"/>
    </row>
    <row r="181" spans="4:22" ht="15" customHeight="1">
      <c r="D181" s="98" t="b">
        <v>0</v>
      </c>
      <c r="E181" s="93">
        <v>0</v>
      </c>
      <c r="F181" s="91">
        <v>3</v>
      </c>
      <c r="G181" s="91" t="s">
        <v>74</v>
      </c>
      <c r="H181" s="92">
        <v>25</v>
      </c>
      <c r="I181" s="92">
        <v>0</v>
      </c>
      <c r="J181" s="92">
        <v>0</v>
      </c>
      <c r="K181" s="92">
        <v>7.65</v>
      </c>
      <c r="L181" s="92" t="s">
        <v>75</v>
      </c>
      <c r="M181" s="92" t="s">
        <v>76</v>
      </c>
      <c r="N181" s="92" t="s">
        <v>77</v>
      </c>
      <c r="O181" s="92" t="b">
        <v>1</v>
      </c>
      <c r="P181" s="92" t="s">
        <v>95</v>
      </c>
      <c r="Q181" s="92" t="s">
        <v>79</v>
      </c>
      <c r="R181" s="92" t="s">
        <v>80</v>
      </c>
      <c r="S181" s="92" t="b">
        <v>1</v>
      </c>
      <c r="T181" s="100">
        <v>0</v>
      </c>
      <c r="U181" s="100">
        <v>1.4642475149713041E+19</v>
      </c>
      <c r="V181" s="100"/>
    </row>
    <row r="182" spans="4:22" ht="15" customHeight="1">
      <c r="D182" s="98" t="b">
        <v>0</v>
      </c>
      <c r="E182" s="93">
        <v>0</v>
      </c>
      <c r="F182" s="91">
        <v>3</v>
      </c>
      <c r="G182" s="91" t="s">
        <v>74</v>
      </c>
      <c r="H182" s="92"/>
      <c r="I182" s="92">
        <v>0</v>
      </c>
      <c r="J182" s="92">
        <v>0</v>
      </c>
      <c r="K182" s="92">
        <v>7.8958000000000004</v>
      </c>
      <c r="L182" s="92" t="s">
        <v>75</v>
      </c>
      <c r="M182" s="92" t="s">
        <v>76</v>
      </c>
      <c r="N182" s="92" t="s">
        <v>77</v>
      </c>
      <c r="O182" s="92" t="b">
        <v>1</v>
      </c>
      <c r="P182" s="92"/>
      <c r="Q182" s="92" t="s">
        <v>79</v>
      </c>
      <c r="R182" s="92" t="s">
        <v>80</v>
      </c>
      <c r="S182" s="92" t="b">
        <v>1</v>
      </c>
      <c r="T182" s="100">
        <v>1</v>
      </c>
      <c r="U182" s="100">
        <v>9.9740171854948762E+18</v>
      </c>
      <c r="V182" s="100"/>
    </row>
    <row r="183" spans="4:22" ht="15" customHeight="1">
      <c r="D183" s="98" t="b">
        <v>0</v>
      </c>
      <c r="E183" s="93">
        <v>0</v>
      </c>
      <c r="F183" s="91">
        <v>3</v>
      </c>
      <c r="G183" s="91" t="s">
        <v>74</v>
      </c>
      <c r="H183" s="92"/>
      <c r="I183" s="92">
        <v>0</v>
      </c>
      <c r="J183" s="92">
        <v>0</v>
      </c>
      <c r="K183" s="92">
        <v>8.0500000000000007</v>
      </c>
      <c r="L183" s="92" t="s">
        <v>75</v>
      </c>
      <c r="M183" s="92" t="s">
        <v>76</v>
      </c>
      <c r="N183" s="92" t="s">
        <v>77</v>
      </c>
      <c r="O183" s="92" t="b">
        <v>1</v>
      </c>
      <c r="P183" s="92"/>
      <c r="Q183" s="92" t="s">
        <v>79</v>
      </c>
      <c r="R183" s="92" t="s">
        <v>80</v>
      </c>
      <c r="S183" s="92" t="b">
        <v>1</v>
      </c>
      <c r="T183" s="100">
        <v>1</v>
      </c>
      <c r="U183" s="100">
        <v>1.036563458869572E+19</v>
      </c>
      <c r="V183" s="100"/>
    </row>
    <row r="184" spans="4:22" ht="15" customHeight="1">
      <c r="D184" s="98" t="b">
        <v>0</v>
      </c>
      <c r="E184" s="93">
        <v>1</v>
      </c>
      <c r="F184" s="91">
        <v>3</v>
      </c>
      <c r="G184" s="91" t="s">
        <v>81</v>
      </c>
      <c r="H184" s="92">
        <v>30</v>
      </c>
      <c r="I184" s="92">
        <v>0</v>
      </c>
      <c r="J184" s="92">
        <v>0</v>
      </c>
      <c r="K184" s="92">
        <v>12.475</v>
      </c>
      <c r="L184" s="92" t="s">
        <v>75</v>
      </c>
      <c r="M184" s="92" t="s">
        <v>76</v>
      </c>
      <c r="N184" s="92" t="s">
        <v>83</v>
      </c>
      <c r="O184" s="92" t="b">
        <v>0</v>
      </c>
      <c r="P184" s="92"/>
      <c r="Q184" s="92" t="s">
        <v>79</v>
      </c>
      <c r="R184" s="92" t="s">
        <v>85</v>
      </c>
      <c r="S184" s="92" t="b">
        <v>1</v>
      </c>
      <c r="T184" s="100">
        <v>1</v>
      </c>
      <c r="U184" s="100">
        <v>1.0286901302341132E+19</v>
      </c>
      <c r="V184" s="100"/>
    </row>
    <row r="185" spans="4:22" ht="15" customHeight="1">
      <c r="D185" s="98" t="b">
        <v>0</v>
      </c>
      <c r="E185" s="93">
        <v>0</v>
      </c>
      <c r="F185" s="91">
        <v>3</v>
      </c>
      <c r="G185" s="91" t="s">
        <v>74</v>
      </c>
      <c r="H185" s="92">
        <v>22</v>
      </c>
      <c r="I185" s="92">
        <v>0</v>
      </c>
      <c r="J185" s="92">
        <v>0</v>
      </c>
      <c r="K185" s="92">
        <v>9</v>
      </c>
      <c r="L185" s="92" t="s">
        <v>75</v>
      </c>
      <c r="M185" s="92" t="s">
        <v>76</v>
      </c>
      <c r="N185" s="92" t="s">
        <v>77</v>
      </c>
      <c r="O185" s="92" t="b">
        <v>1</v>
      </c>
      <c r="P185" s="92"/>
      <c r="Q185" s="92" t="s">
        <v>79</v>
      </c>
      <c r="R185" s="92" t="s">
        <v>80</v>
      </c>
      <c r="S185" s="92" t="b">
        <v>1</v>
      </c>
      <c r="T185" s="100">
        <v>1</v>
      </c>
      <c r="U185" s="100">
        <v>6.1422287354357893E+18</v>
      </c>
      <c r="V185" s="100"/>
    </row>
    <row r="186" spans="4:22" ht="15" customHeight="1">
      <c r="D186" s="98" t="b">
        <v>0</v>
      </c>
      <c r="E186" s="93">
        <v>1</v>
      </c>
      <c r="F186" s="91">
        <v>3</v>
      </c>
      <c r="G186" s="91" t="s">
        <v>74</v>
      </c>
      <c r="H186" s="92">
        <v>29</v>
      </c>
      <c r="I186" s="92">
        <v>0</v>
      </c>
      <c r="J186" s="92">
        <v>0</v>
      </c>
      <c r="K186" s="92">
        <v>9.5</v>
      </c>
      <c r="L186" s="92" t="s">
        <v>75</v>
      </c>
      <c r="M186" s="92" t="s">
        <v>76</v>
      </c>
      <c r="N186" s="92" t="s">
        <v>77</v>
      </c>
      <c r="O186" s="92" t="b">
        <v>1</v>
      </c>
      <c r="P186" s="92"/>
      <c r="Q186" s="92" t="s">
        <v>79</v>
      </c>
      <c r="R186" s="92" t="s">
        <v>85</v>
      </c>
      <c r="S186" s="92" t="b">
        <v>1</v>
      </c>
      <c r="T186" s="100">
        <v>1</v>
      </c>
      <c r="U186" s="100">
        <v>8.125972792683223E+18</v>
      </c>
      <c r="V186" s="100"/>
    </row>
    <row r="187" spans="4:22" ht="15" customHeight="1">
      <c r="D187" s="98" t="b">
        <v>0</v>
      </c>
      <c r="E187" s="93">
        <v>1</v>
      </c>
      <c r="F187" s="91">
        <v>3</v>
      </c>
      <c r="G187" s="91" t="s">
        <v>81</v>
      </c>
      <c r="H187" s="92"/>
      <c r="I187" s="92">
        <v>0</v>
      </c>
      <c r="J187" s="92">
        <v>0</v>
      </c>
      <c r="K187" s="92">
        <v>7.7874999999999996</v>
      </c>
      <c r="L187" s="92" t="s">
        <v>86</v>
      </c>
      <c r="M187" s="92" t="s">
        <v>76</v>
      </c>
      <c r="N187" s="92" t="s">
        <v>83</v>
      </c>
      <c r="O187" s="92" t="b">
        <v>0</v>
      </c>
      <c r="P187" s="92"/>
      <c r="Q187" s="92" t="s">
        <v>87</v>
      </c>
      <c r="R187" s="92" t="s">
        <v>85</v>
      </c>
      <c r="S187" s="92" t="b">
        <v>1</v>
      </c>
      <c r="T187" s="100">
        <v>1</v>
      </c>
      <c r="U187" s="100">
        <v>1.1396267833141412E+19</v>
      </c>
      <c r="V187" s="100"/>
    </row>
    <row r="188" spans="4:22" ht="15" customHeight="1">
      <c r="D188" s="98" t="b">
        <v>0</v>
      </c>
      <c r="E188" s="93">
        <v>0</v>
      </c>
      <c r="F188" s="91">
        <v>1</v>
      </c>
      <c r="G188" s="91" t="s">
        <v>74</v>
      </c>
      <c r="H188" s="92">
        <v>28</v>
      </c>
      <c r="I188" s="92">
        <v>0</v>
      </c>
      <c r="J188" s="92">
        <v>0</v>
      </c>
      <c r="K188" s="92">
        <v>47.1</v>
      </c>
      <c r="L188" s="92" t="s">
        <v>75</v>
      </c>
      <c r="M188" s="92" t="s">
        <v>82</v>
      </c>
      <c r="N188" s="92" t="s">
        <v>77</v>
      </c>
      <c r="O188" s="92" t="b">
        <v>1</v>
      </c>
      <c r="P188" s="92"/>
      <c r="Q188" s="92" t="s">
        <v>79</v>
      </c>
      <c r="R188" s="92" t="s">
        <v>80</v>
      </c>
      <c r="S188" s="92" t="b">
        <v>1</v>
      </c>
      <c r="T188" s="100">
        <v>1</v>
      </c>
      <c r="U188" s="100">
        <v>1.3324510321929056E+19</v>
      </c>
      <c r="V188" s="100"/>
    </row>
    <row r="189" spans="4:22" ht="15" customHeight="1">
      <c r="D189" s="98" t="b">
        <v>0</v>
      </c>
      <c r="E189" s="93">
        <v>1</v>
      </c>
      <c r="F189" s="91">
        <v>2</v>
      </c>
      <c r="G189" s="91" t="s">
        <v>81</v>
      </c>
      <c r="H189" s="92">
        <v>17</v>
      </c>
      <c r="I189" s="92">
        <v>0</v>
      </c>
      <c r="J189" s="92">
        <v>0</v>
      </c>
      <c r="K189" s="92">
        <v>10.5</v>
      </c>
      <c r="L189" s="92" t="s">
        <v>75</v>
      </c>
      <c r="M189" s="92" t="s">
        <v>90</v>
      </c>
      <c r="N189" s="92" t="s">
        <v>83</v>
      </c>
      <c r="O189" s="92" t="b">
        <v>0</v>
      </c>
      <c r="P189" s="92"/>
      <c r="Q189" s="92" t="s">
        <v>79</v>
      </c>
      <c r="R189" s="92" t="s">
        <v>85</v>
      </c>
      <c r="S189" s="92" t="b">
        <v>1</v>
      </c>
      <c r="T189" s="100">
        <v>1</v>
      </c>
      <c r="U189" s="100">
        <v>3.450065616817343E+18</v>
      </c>
      <c r="V189" s="100"/>
    </row>
    <row r="190" spans="4:22" ht="15" customHeight="1">
      <c r="D190" s="98" t="b">
        <v>0</v>
      </c>
      <c r="E190" s="93">
        <v>1</v>
      </c>
      <c r="F190" s="91">
        <v>3</v>
      </c>
      <c r="G190" s="91" t="s">
        <v>81</v>
      </c>
      <c r="H190" s="92">
        <v>33</v>
      </c>
      <c r="I190" s="92">
        <v>3</v>
      </c>
      <c r="J190" s="92">
        <v>0</v>
      </c>
      <c r="K190" s="92">
        <v>15.85</v>
      </c>
      <c r="L190" s="92" t="s">
        <v>75</v>
      </c>
      <c r="M190" s="92" t="s">
        <v>76</v>
      </c>
      <c r="N190" s="92" t="s">
        <v>83</v>
      </c>
      <c r="O190" s="92" t="b">
        <v>0</v>
      </c>
      <c r="P190" s="92"/>
      <c r="Q190" s="92" t="s">
        <v>79</v>
      </c>
      <c r="R190" s="92" t="s">
        <v>85</v>
      </c>
      <c r="S190" s="92" t="b">
        <v>0</v>
      </c>
      <c r="T190" s="100">
        <v>1</v>
      </c>
      <c r="U190" s="100">
        <v>6.6724359241738609E+18</v>
      </c>
      <c r="V190" s="100"/>
    </row>
    <row r="191" spans="4:22" ht="15" customHeight="1">
      <c r="D191" s="98" t="b">
        <v>0</v>
      </c>
      <c r="E191" s="93">
        <v>0</v>
      </c>
      <c r="F191" s="91">
        <v>3</v>
      </c>
      <c r="G191" s="91" t="s">
        <v>74</v>
      </c>
      <c r="H191" s="92">
        <v>16</v>
      </c>
      <c r="I191" s="92">
        <v>1</v>
      </c>
      <c r="J191" s="92">
        <v>3</v>
      </c>
      <c r="K191" s="92">
        <v>34.375</v>
      </c>
      <c r="L191" s="92" t="s">
        <v>75</v>
      </c>
      <c r="M191" s="92" t="s">
        <v>76</v>
      </c>
      <c r="N191" s="92" t="s">
        <v>77</v>
      </c>
      <c r="O191" s="92" t="b">
        <v>1</v>
      </c>
      <c r="P191" s="92"/>
      <c r="Q191" s="92" t="s">
        <v>79</v>
      </c>
      <c r="R191" s="92" t="s">
        <v>80</v>
      </c>
      <c r="S191" s="92" t="b">
        <v>0</v>
      </c>
      <c r="T191" s="100">
        <v>1</v>
      </c>
      <c r="U191" s="100">
        <v>8.1082291180215624E+18</v>
      </c>
      <c r="V191" s="100"/>
    </row>
    <row r="192" spans="4:22" ht="15" customHeight="1">
      <c r="D192" s="98" t="b">
        <v>0</v>
      </c>
      <c r="E192" s="93">
        <v>0</v>
      </c>
      <c r="F192" s="91">
        <v>3</v>
      </c>
      <c r="G192" s="91" t="s">
        <v>74</v>
      </c>
      <c r="H192" s="92"/>
      <c r="I192" s="92">
        <v>0</v>
      </c>
      <c r="J192" s="92">
        <v>0</v>
      </c>
      <c r="K192" s="92">
        <v>8.0500000000000007</v>
      </c>
      <c r="L192" s="92" t="s">
        <v>75</v>
      </c>
      <c r="M192" s="92" t="s">
        <v>76</v>
      </c>
      <c r="N192" s="92" t="s">
        <v>77</v>
      </c>
      <c r="O192" s="92" t="b">
        <v>1</v>
      </c>
      <c r="P192" s="92"/>
      <c r="Q192" s="92" t="s">
        <v>79</v>
      </c>
      <c r="R192" s="92" t="s">
        <v>80</v>
      </c>
      <c r="S192" s="92" t="b">
        <v>1</v>
      </c>
      <c r="T192" s="100">
        <v>1</v>
      </c>
      <c r="U192" s="100">
        <v>1.036563458869572E+19</v>
      </c>
      <c r="V192" s="100"/>
    </row>
    <row r="193" spans="4:22" ht="15" customHeight="1">
      <c r="D193" s="98" t="b">
        <v>0</v>
      </c>
      <c r="E193" s="93">
        <v>1</v>
      </c>
      <c r="F193" s="91">
        <v>1</v>
      </c>
      <c r="G193" s="91" t="s">
        <v>81</v>
      </c>
      <c r="H193" s="92">
        <v>23</v>
      </c>
      <c r="I193" s="92">
        <v>3</v>
      </c>
      <c r="J193" s="92">
        <v>2</v>
      </c>
      <c r="K193" s="92">
        <v>263</v>
      </c>
      <c r="L193" s="92" t="s">
        <v>75</v>
      </c>
      <c r="M193" s="92" t="s">
        <v>82</v>
      </c>
      <c r="N193" s="92" t="s">
        <v>83</v>
      </c>
      <c r="O193" s="92" t="b">
        <v>0</v>
      </c>
      <c r="P193" s="92" t="s">
        <v>78</v>
      </c>
      <c r="Q193" s="92" t="s">
        <v>79</v>
      </c>
      <c r="R193" s="92" t="s">
        <v>85</v>
      </c>
      <c r="S193" s="92" t="b">
        <v>0</v>
      </c>
      <c r="T193" s="100">
        <v>0</v>
      </c>
      <c r="U193" s="100">
        <v>5.5662767255530312E+18</v>
      </c>
      <c r="V193" s="100"/>
    </row>
    <row r="194" spans="4:22" ht="15" customHeight="1">
      <c r="D194" s="98" t="b">
        <v>0</v>
      </c>
      <c r="E194" s="93">
        <v>0</v>
      </c>
      <c r="F194" s="91">
        <v>3</v>
      </c>
      <c r="G194" s="91" t="s">
        <v>74</v>
      </c>
      <c r="H194" s="92">
        <v>24</v>
      </c>
      <c r="I194" s="92">
        <v>0</v>
      </c>
      <c r="J194" s="92">
        <v>0</v>
      </c>
      <c r="K194" s="92">
        <v>8.0500000000000007</v>
      </c>
      <c r="L194" s="92" t="s">
        <v>75</v>
      </c>
      <c r="M194" s="92" t="s">
        <v>76</v>
      </c>
      <c r="N194" s="92" t="s">
        <v>77</v>
      </c>
      <c r="O194" s="92" t="b">
        <v>1</v>
      </c>
      <c r="P194" s="92"/>
      <c r="Q194" s="92" t="s">
        <v>79</v>
      </c>
      <c r="R194" s="92" t="s">
        <v>80</v>
      </c>
      <c r="S194" s="92" t="b">
        <v>1</v>
      </c>
      <c r="T194" s="100">
        <v>1</v>
      </c>
      <c r="U194" s="100">
        <v>1.5914484665321656E+18</v>
      </c>
      <c r="V194" s="100"/>
    </row>
    <row r="195" spans="4:22" ht="15" customHeight="1">
      <c r="D195" s="98" t="b">
        <v>0</v>
      </c>
      <c r="E195" s="93">
        <v>0</v>
      </c>
      <c r="F195" s="91">
        <v>3</v>
      </c>
      <c r="G195" s="91" t="s">
        <v>74</v>
      </c>
      <c r="H195" s="92">
        <v>29</v>
      </c>
      <c r="I195" s="92">
        <v>0</v>
      </c>
      <c r="J195" s="92">
        <v>0</v>
      </c>
      <c r="K195" s="92">
        <v>8.0500000000000007</v>
      </c>
      <c r="L195" s="92" t="s">
        <v>75</v>
      </c>
      <c r="M195" s="92" t="s">
        <v>76</v>
      </c>
      <c r="N195" s="92" t="s">
        <v>77</v>
      </c>
      <c r="O195" s="92" t="b">
        <v>1</v>
      </c>
      <c r="P195" s="92"/>
      <c r="Q195" s="92" t="s">
        <v>79</v>
      </c>
      <c r="R195" s="92" t="s">
        <v>80</v>
      </c>
      <c r="S195" s="92" t="b">
        <v>1</v>
      </c>
      <c r="T195" s="100">
        <v>1</v>
      </c>
      <c r="U195" s="100">
        <v>7.7468921156892856E+18</v>
      </c>
      <c r="V195" s="100"/>
    </row>
    <row r="196" spans="4:22" ht="15" customHeight="1">
      <c r="D196" s="98" t="b">
        <v>0</v>
      </c>
      <c r="E196" s="93">
        <v>0</v>
      </c>
      <c r="F196" s="91">
        <v>3</v>
      </c>
      <c r="G196" s="91" t="s">
        <v>74</v>
      </c>
      <c r="H196" s="92">
        <v>20</v>
      </c>
      <c r="I196" s="92">
        <v>0</v>
      </c>
      <c r="J196" s="92">
        <v>0</v>
      </c>
      <c r="K196" s="92">
        <v>7.8541999999999996</v>
      </c>
      <c r="L196" s="92" t="s">
        <v>75</v>
      </c>
      <c r="M196" s="92" t="s">
        <v>76</v>
      </c>
      <c r="N196" s="92" t="s">
        <v>77</v>
      </c>
      <c r="O196" s="92" t="b">
        <v>1</v>
      </c>
      <c r="P196" s="92"/>
      <c r="Q196" s="92" t="s">
        <v>79</v>
      </c>
      <c r="R196" s="92" t="s">
        <v>80</v>
      </c>
      <c r="S196" s="92" t="b">
        <v>1</v>
      </c>
      <c r="T196" s="100">
        <v>1</v>
      </c>
      <c r="U196" s="100">
        <v>1.689646702325998E+19</v>
      </c>
      <c r="V196" s="100"/>
    </row>
    <row r="197" spans="4:22" ht="15" customHeight="1">
      <c r="D197" s="98" t="b">
        <v>0</v>
      </c>
      <c r="E197" s="93">
        <v>0</v>
      </c>
      <c r="F197" s="91">
        <v>1</v>
      </c>
      <c r="G197" s="91" t="s">
        <v>74</v>
      </c>
      <c r="H197" s="92">
        <v>46</v>
      </c>
      <c r="I197" s="92">
        <v>1</v>
      </c>
      <c r="J197" s="92">
        <v>0</v>
      </c>
      <c r="K197" s="92">
        <v>61.174999999999997</v>
      </c>
      <c r="L197" s="92" t="s">
        <v>75</v>
      </c>
      <c r="M197" s="92" t="s">
        <v>82</v>
      </c>
      <c r="N197" s="92" t="s">
        <v>77</v>
      </c>
      <c r="O197" s="92" t="b">
        <v>1</v>
      </c>
      <c r="P197" s="92" t="s">
        <v>88</v>
      </c>
      <c r="Q197" s="92" t="s">
        <v>79</v>
      </c>
      <c r="R197" s="92" t="s">
        <v>80</v>
      </c>
      <c r="S197" s="92" t="b">
        <v>0</v>
      </c>
      <c r="T197" s="100">
        <v>0</v>
      </c>
      <c r="U197" s="100">
        <v>8.9647901942293914E+18</v>
      </c>
      <c r="V197" s="100"/>
    </row>
    <row r="198" spans="4:22" ht="15" customHeight="1">
      <c r="D198" s="98" t="b">
        <v>0</v>
      </c>
      <c r="E198" s="93">
        <v>0</v>
      </c>
      <c r="F198" s="91">
        <v>3</v>
      </c>
      <c r="G198" s="91" t="s">
        <v>74</v>
      </c>
      <c r="H198" s="92">
        <v>26</v>
      </c>
      <c r="I198" s="92">
        <v>1</v>
      </c>
      <c r="J198" s="92">
        <v>2</v>
      </c>
      <c r="K198" s="92">
        <v>20.574999999999999</v>
      </c>
      <c r="L198" s="92" t="s">
        <v>75</v>
      </c>
      <c r="M198" s="92" t="s">
        <v>76</v>
      </c>
      <c r="N198" s="92" t="s">
        <v>77</v>
      </c>
      <c r="O198" s="92" t="b">
        <v>1</v>
      </c>
      <c r="P198" s="92"/>
      <c r="Q198" s="92" t="s">
        <v>79</v>
      </c>
      <c r="R198" s="92" t="s">
        <v>80</v>
      </c>
      <c r="S198" s="92" t="b">
        <v>0</v>
      </c>
      <c r="T198" s="100">
        <v>1</v>
      </c>
      <c r="U198" s="100">
        <v>2.3866085820441769E+18</v>
      </c>
      <c r="V198" s="100"/>
    </row>
    <row r="199" spans="4:22" ht="15" customHeight="1">
      <c r="D199" s="98" t="b">
        <v>0</v>
      </c>
      <c r="E199" s="93">
        <v>0</v>
      </c>
      <c r="F199" s="91">
        <v>3</v>
      </c>
      <c r="G199" s="91" t="s">
        <v>74</v>
      </c>
      <c r="H199" s="92">
        <v>59</v>
      </c>
      <c r="I199" s="92">
        <v>0</v>
      </c>
      <c r="J199" s="92">
        <v>0</v>
      </c>
      <c r="K199" s="92">
        <v>7.25</v>
      </c>
      <c r="L199" s="92" t="s">
        <v>75</v>
      </c>
      <c r="M199" s="92" t="s">
        <v>76</v>
      </c>
      <c r="N199" s="92" t="s">
        <v>77</v>
      </c>
      <c r="O199" s="92" t="b">
        <v>1</v>
      </c>
      <c r="P199" s="92"/>
      <c r="Q199" s="92" t="s">
        <v>79</v>
      </c>
      <c r="R199" s="92" t="s">
        <v>80</v>
      </c>
      <c r="S199" s="92" t="b">
        <v>1</v>
      </c>
      <c r="T199" s="100">
        <v>1</v>
      </c>
      <c r="U199" s="100">
        <v>8.8330254367995525E+18</v>
      </c>
      <c r="V199" s="100"/>
    </row>
    <row r="200" spans="4:22" ht="15" customHeight="1">
      <c r="D200" s="98" t="b">
        <v>0</v>
      </c>
      <c r="E200" s="93">
        <v>0</v>
      </c>
      <c r="F200" s="91">
        <v>3</v>
      </c>
      <c r="G200" s="91" t="s">
        <v>74</v>
      </c>
      <c r="H200" s="92"/>
      <c r="I200" s="92">
        <v>0</v>
      </c>
      <c r="J200" s="92">
        <v>0</v>
      </c>
      <c r="K200" s="92">
        <v>8.0500000000000007</v>
      </c>
      <c r="L200" s="92" t="s">
        <v>75</v>
      </c>
      <c r="M200" s="92" t="s">
        <v>76</v>
      </c>
      <c r="N200" s="92" t="s">
        <v>77</v>
      </c>
      <c r="O200" s="92" t="b">
        <v>1</v>
      </c>
      <c r="P200" s="92"/>
      <c r="Q200" s="92" t="s">
        <v>79</v>
      </c>
      <c r="R200" s="92" t="s">
        <v>80</v>
      </c>
      <c r="S200" s="92" t="b">
        <v>1</v>
      </c>
      <c r="T200" s="100">
        <v>1</v>
      </c>
      <c r="U200" s="100">
        <v>1.036563458869572E+19</v>
      </c>
      <c r="V200" s="100"/>
    </row>
    <row r="201" spans="4:22" ht="15" customHeight="1">
      <c r="D201" s="98" t="b">
        <v>0</v>
      </c>
      <c r="E201" s="93">
        <v>0</v>
      </c>
      <c r="F201" s="91">
        <v>1</v>
      </c>
      <c r="G201" s="91" t="s">
        <v>74</v>
      </c>
      <c r="H201" s="92">
        <v>71</v>
      </c>
      <c r="I201" s="92">
        <v>0</v>
      </c>
      <c r="J201" s="92">
        <v>0</v>
      </c>
      <c r="K201" s="92">
        <v>34.654200000000003</v>
      </c>
      <c r="L201" s="92" t="s">
        <v>78</v>
      </c>
      <c r="M201" s="92" t="s">
        <v>82</v>
      </c>
      <c r="N201" s="92" t="s">
        <v>77</v>
      </c>
      <c r="O201" s="92" t="b">
        <v>1</v>
      </c>
      <c r="P201" s="92" t="s">
        <v>93</v>
      </c>
      <c r="Q201" s="92" t="s">
        <v>84</v>
      </c>
      <c r="R201" s="92" t="s">
        <v>80</v>
      </c>
      <c r="S201" s="92" t="b">
        <v>1</v>
      </c>
      <c r="T201" s="100">
        <v>0</v>
      </c>
      <c r="U201" s="100">
        <v>9.1729060159663585E+18</v>
      </c>
      <c r="V201" s="100"/>
    </row>
    <row r="202" spans="4:22" ht="15" customHeight="1">
      <c r="D202" s="98" t="b">
        <v>0</v>
      </c>
      <c r="E202" s="93">
        <v>1</v>
      </c>
      <c r="F202" s="91">
        <v>1</v>
      </c>
      <c r="G202" s="91" t="s">
        <v>74</v>
      </c>
      <c r="H202" s="92">
        <v>23</v>
      </c>
      <c r="I202" s="92">
        <v>0</v>
      </c>
      <c r="J202" s="92">
        <v>1</v>
      </c>
      <c r="K202" s="92">
        <v>63.3583</v>
      </c>
      <c r="L202" s="92" t="s">
        <v>78</v>
      </c>
      <c r="M202" s="92" t="s">
        <v>82</v>
      </c>
      <c r="N202" s="92" t="s">
        <v>77</v>
      </c>
      <c r="O202" s="92" t="b">
        <v>1</v>
      </c>
      <c r="P202" s="92" t="s">
        <v>92</v>
      </c>
      <c r="Q202" s="92" t="s">
        <v>84</v>
      </c>
      <c r="R202" s="92" t="s">
        <v>85</v>
      </c>
      <c r="S202" s="92" t="b">
        <v>0</v>
      </c>
      <c r="T202" s="100">
        <v>0</v>
      </c>
      <c r="U202" s="100">
        <v>1.6294241779377023E+19</v>
      </c>
      <c r="V202" s="100"/>
    </row>
    <row r="203" spans="4:22" ht="15" customHeight="1">
      <c r="D203" s="98" t="b">
        <v>0</v>
      </c>
      <c r="E203" s="93">
        <v>1</v>
      </c>
      <c r="F203" s="91">
        <v>2</v>
      </c>
      <c r="G203" s="91" t="s">
        <v>81</v>
      </c>
      <c r="H203" s="92">
        <v>34</v>
      </c>
      <c r="I203" s="92">
        <v>0</v>
      </c>
      <c r="J203" s="92">
        <v>1</v>
      </c>
      <c r="K203" s="92">
        <v>23</v>
      </c>
      <c r="L203" s="92" t="s">
        <v>75</v>
      </c>
      <c r="M203" s="92" t="s">
        <v>90</v>
      </c>
      <c r="N203" s="92" t="s">
        <v>83</v>
      </c>
      <c r="O203" s="92" t="b">
        <v>0</v>
      </c>
      <c r="P203" s="92"/>
      <c r="Q203" s="92" t="s">
        <v>79</v>
      </c>
      <c r="R203" s="92" t="s">
        <v>85</v>
      </c>
      <c r="S203" s="92" t="b">
        <v>0</v>
      </c>
      <c r="T203" s="100">
        <v>1</v>
      </c>
      <c r="U203" s="100">
        <v>1.3819741986135281E+18</v>
      </c>
      <c r="V203" s="100"/>
    </row>
    <row r="204" spans="4:22" ht="15" customHeight="1">
      <c r="D204" s="98" t="b">
        <v>0</v>
      </c>
      <c r="E204" s="93">
        <v>0</v>
      </c>
      <c r="F204" s="91">
        <v>2</v>
      </c>
      <c r="G204" s="91" t="s">
        <v>74</v>
      </c>
      <c r="H204" s="92">
        <v>34</v>
      </c>
      <c r="I204" s="92">
        <v>1</v>
      </c>
      <c r="J204" s="92">
        <v>0</v>
      </c>
      <c r="K204" s="92">
        <v>26</v>
      </c>
      <c r="L204" s="92" t="s">
        <v>75</v>
      </c>
      <c r="M204" s="92" t="s">
        <v>90</v>
      </c>
      <c r="N204" s="92" t="s">
        <v>77</v>
      </c>
      <c r="O204" s="92" t="b">
        <v>1</v>
      </c>
      <c r="P204" s="92"/>
      <c r="Q204" s="92" t="s">
        <v>79</v>
      </c>
      <c r="R204" s="92" t="s">
        <v>80</v>
      </c>
      <c r="S204" s="92" t="b">
        <v>0</v>
      </c>
      <c r="T204" s="100">
        <v>1</v>
      </c>
      <c r="U204" s="100">
        <v>1.3405727683472359E+19</v>
      </c>
      <c r="V204" s="100"/>
    </row>
    <row r="205" spans="4:22" ht="15" customHeight="1">
      <c r="D205" s="98" t="b">
        <v>0</v>
      </c>
      <c r="E205" s="93">
        <v>0</v>
      </c>
      <c r="F205" s="91">
        <v>3</v>
      </c>
      <c r="G205" s="91" t="s">
        <v>81</v>
      </c>
      <c r="H205" s="92">
        <v>28</v>
      </c>
      <c r="I205" s="92">
        <v>0</v>
      </c>
      <c r="J205" s="92">
        <v>0</v>
      </c>
      <c r="K205" s="92">
        <v>7.8958000000000004</v>
      </c>
      <c r="L205" s="92" t="s">
        <v>75</v>
      </c>
      <c r="M205" s="92" t="s">
        <v>76</v>
      </c>
      <c r="N205" s="92" t="s">
        <v>83</v>
      </c>
      <c r="O205" s="92" t="b">
        <v>0</v>
      </c>
      <c r="P205" s="92"/>
      <c r="Q205" s="92" t="s">
        <v>79</v>
      </c>
      <c r="R205" s="92" t="s">
        <v>80</v>
      </c>
      <c r="S205" s="92" t="b">
        <v>1</v>
      </c>
      <c r="T205" s="100">
        <v>1</v>
      </c>
      <c r="U205" s="100">
        <v>1.0813156902008433E+19</v>
      </c>
      <c r="V205" s="100"/>
    </row>
    <row r="206" spans="4:22" ht="15" customHeight="1">
      <c r="D206" s="98" t="b">
        <v>0</v>
      </c>
      <c r="E206" s="93">
        <v>0</v>
      </c>
      <c r="F206" s="91">
        <v>3</v>
      </c>
      <c r="G206" s="91" t="s">
        <v>74</v>
      </c>
      <c r="H206" s="92"/>
      <c r="I206" s="92">
        <v>0</v>
      </c>
      <c r="J206" s="92">
        <v>0</v>
      </c>
      <c r="K206" s="92">
        <v>7.8958000000000004</v>
      </c>
      <c r="L206" s="92" t="s">
        <v>75</v>
      </c>
      <c r="M206" s="92" t="s">
        <v>76</v>
      </c>
      <c r="N206" s="92" t="s">
        <v>77</v>
      </c>
      <c r="O206" s="92" t="b">
        <v>1</v>
      </c>
      <c r="P206" s="92"/>
      <c r="Q206" s="92" t="s">
        <v>79</v>
      </c>
      <c r="R206" s="92" t="s">
        <v>80</v>
      </c>
      <c r="S206" s="92" t="b">
        <v>1</v>
      </c>
      <c r="T206" s="100">
        <v>1</v>
      </c>
      <c r="U206" s="100">
        <v>9.9740171854948762E+18</v>
      </c>
      <c r="V206" s="100"/>
    </row>
    <row r="207" spans="4:22" ht="15" customHeight="1">
      <c r="D207" s="98" t="b">
        <v>0</v>
      </c>
      <c r="E207" s="93">
        <v>0</v>
      </c>
      <c r="F207" s="91">
        <v>1</v>
      </c>
      <c r="G207" s="91" t="s">
        <v>74</v>
      </c>
      <c r="H207" s="92">
        <v>21</v>
      </c>
      <c r="I207" s="92">
        <v>0</v>
      </c>
      <c r="J207" s="92">
        <v>1</v>
      </c>
      <c r="K207" s="92">
        <v>77.287499999999994</v>
      </c>
      <c r="L207" s="92" t="s">
        <v>75</v>
      </c>
      <c r="M207" s="92" t="s">
        <v>82</v>
      </c>
      <c r="N207" s="92" t="s">
        <v>77</v>
      </c>
      <c r="O207" s="92" t="b">
        <v>1</v>
      </c>
      <c r="P207" s="92" t="s">
        <v>92</v>
      </c>
      <c r="Q207" s="92" t="s">
        <v>79</v>
      </c>
      <c r="R207" s="92" t="s">
        <v>80</v>
      </c>
      <c r="S207" s="92" t="b">
        <v>0</v>
      </c>
      <c r="T207" s="100">
        <v>0</v>
      </c>
      <c r="U207" s="100">
        <v>5.6778192056611041E+18</v>
      </c>
      <c r="V207" s="100"/>
    </row>
    <row r="208" spans="4:22" ht="15" customHeight="1">
      <c r="D208" s="98" t="b">
        <v>0</v>
      </c>
      <c r="E208" s="93">
        <v>0</v>
      </c>
      <c r="F208" s="91">
        <v>3</v>
      </c>
      <c r="G208" s="91" t="s">
        <v>74</v>
      </c>
      <c r="H208" s="92">
        <v>33</v>
      </c>
      <c r="I208" s="92">
        <v>0</v>
      </c>
      <c r="J208" s="92">
        <v>0</v>
      </c>
      <c r="K208" s="92">
        <v>8.6541999999999994</v>
      </c>
      <c r="L208" s="92" t="s">
        <v>75</v>
      </c>
      <c r="M208" s="92" t="s">
        <v>76</v>
      </c>
      <c r="N208" s="92" t="s">
        <v>77</v>
      </c>
      <c r="O208" s="92" t="b">
        <v>1</v>
      </c>
      <c r="P208" s="92"/>
      <c r="Q208" s="92" t="s">
        <v>79</v>
      </c>
      <c r="R208" s="92" t="s">
        <v>80</v>
      </c>
      <c r="S208" s="92" t="b">
        <v>1</v>
      </c>
      <c r="T208" s="100">
        <v>1</v>
      </c>
      <c r="U208" s="100">
        <v>1.1534529547408873E+19</v>
      </c>
      <c r="V208" s="100"/>
    </row>
    <row r="209" spans="4:22" ht="15" customHeight="1">
      <c r="D209" s="98" t="b">
        <v>0</v>
      </c>
      <c r="E209" s="93">
        <v>0</v>
      </c>
      <c r="F209" s="91">
        <v>3</v>
      </c>
      <c r="G209" s="91" t="s">
        <v>74</v>
      </c>
      <c r="H209" s="92">
        <v>37</v>
      </c>
      <c r="I209" s="92">
        <v>2</v>
      </c>
      <c r="J209" s="92">
        <v>0</v>
      </c>
      <c r="K209" s="92">
        <v>7.9249999999999998</v>
      </c>
      <c r="L209" s="92" t="s">
        <v>75</v>
      </c>
      <c r="M209" s="92" t="s">
        <v>76</v>
      </c>
      <c r="N209" s="92" t="s">
        <v>77</v>
      </c>
      <c r="O209" s="92" t="b">
        <v>1</v>
      </c>
      <c r="P209" s="92"/>
      <c r="Q209" s="92" t="s">
        <v>79</v>
      </c>
      <c r="R209" s="92" t="s">
        <v>80</v>
      </c>
      <c r="S209" s="92" t="b">
        <v>0</v>
      </c>
      <c r="T209" s="100">
        <v>1</v>
      </c>
      <c r="U209" s="100">
        <v>3.9832907010117638E+17</v>
      </c>
      <c r="V209" s="100"/>
    </row>
    <row r="210" spans="4:22" ht="15" customHeight="1">
      <c r="D210" s="98" t="b">
        <v>0</v>
      </c>
      <c r="E210" s="93">
        <v>0</v>
      </c>
      <c r="F210" s="91">
        <v>3</v>
      </c>
      <c r="G210" s="91" t="s">
        <v>74</v>
      </c>
      <c r="H210" s="92">
        <v>28</v>
      </c>
      <c r="I210" s="92">
        <v>0</v>
      </c>
      <c r="J210" s="92">
        <v>0</v>
      </c>
      <c r="K210" s="92">
        <v>7.8958000000000004</v>
      </c>
      <c r="L210" s="92" t="s">
        <v>75</v>
      </c>
      <c r="M210" s="92" t="s">
        <v>76</v>
      </c>
      <c r="N210" s="92" t="s">
        <v>77</v>
      </c>
      <c r="O210" s="92" t="b">
        <v>1</v>
      </c>
      <c r="P210" s="92"/>
      <c r="Q210" s="92" t="s">
        <v>79</v>
      </c>
      <c r="R210" s="92" t="s">
        <v>80</v>
      </c>
      <c r="S210" s="92" t="b">
        <v>1</v>
      </c>
      <c r="T210" s="100">
        <v>1</v>
      </c>
      <c r="U210" s="100">
        <v>8.8017583993877258E+18</v>
      </c>
      <c r="V210" s="100"/>
    </row>
    <row r="211" spans="4:22" ht="15" customHeight="1">
      <c r="D211" s="98" t="b">
        <v>0</v>
      </c>
      <c r="E211" s="93">
        <v>1</v>
      </c>
      <c r="F211" s="91">
        <v>3</v>
      </c>
      <c r="G211" s="91" t="s">
        <v>81</v>
      </c>
      <c r="H211" s="92">
        <v>21</v>
      </c>
      <c r="I211" s="92">
        <v>0</v>
      </c>
      <c r="J211" s="92">
        <v>0</v>
      </c>
      <c r="K211" s="92">
        <v>7.65</v>
      </c>
      <c r="L211" s="92" t="s">
        <v>75</v>
      </c>
      <c r="M211" s="92" t="s">
        <v>76</v>
      </c>
      <c r="N211" s="92" t="s">
        <v>83</v>
      </c>
      <c r="O211" s="92" t="b">
        <v>0</v>
      </c>
      <c r="P211" s="92"/>
      <c r="Q211" s="92" t="s">
        <v>79</v>
      </c>
      <c r="R211" s="92" t="s">
        <v>85</v>
      </c>
      <c r="S211" s="92" t="b">
        <v>1</v>
      </c>
      <c r="T211" s="100">
        <v>1</v>
      </c>
      <c r="U211" s="100">
        <v>2.6616520212898877E+18</v>
      </c>
      <c r="V211" s="100"/>
    </row>
    <row r="212" spans="4:22" ht="15" customHeight="1">
      <c r="D212" s="98" t="b">
        <v>0</v>
      </c>
      <c r="E212" s="93">
        <v>1</v>
      </c>
      <c r="F212" s="91">
        <v>3</v>
      </c>
      <c r="G212" s="91" t="s">
        <v>74</v>
      </c>
      <c r="H212" s="92"/>
      <c r="I212" s="92">
        <v>0</v>
      </c>
      <c r="J212" s="92">
        <v>0</v>
      </c>
      <c r="K212" s="92">
        <v>7.7750000000000004</v>
      </c>
      <c r="L212" s="92" t="s">
        <v>75</v>
      </c>
      <c r="M212" s="92" t="s">
        <v>76</v>
      </c>
      <c r="N212" s="92" t="s">
        <v>77</v>
      </c>
      <c r="O212" s="92" t="b">
        <v>1</v>
      </c>
      <c r="P212" s="92"/>
      <c r="Q212" s="92" t="s">
        <v>79</v>
      </c>
      <c r="R212" s="92" t="s">
        <v>85</v>
      </c>
      <c r="S212" s="92" t="b">
        <v>1</v>
      </c>
      <c r="T212" s="100">
        <v>1</v>
      </c>
      <c r="U212" s="100">
        <v>5.2577360004653629E+18</v>
      </c>
      <c r="V212" s="100"/>
    </row>
    <row r="213" spans="4:22" ht="15" customHeight="1">
      <c r="D213" s="98" t="b">
        <v>0</v>
      </c>
      <c r="E213" s="93">
        <v>0</v>
      </c>
      <c r="F213" s="91">
        <v>3</v>
      </c>
      <c r="G213" s="91" t="s">
        <v>74</v>
      </c>
      <c r="H213" s="92">
        <v>38</v>
      </c>
      <c r="I213" s="92">
        <v>0</v>
      </c>
      <c r="J213" s="92">
        <v>0</v>
      </c>
      <c r="K213" s="92">
        <v>7.8958000000000004</v>
      </c>
      <c r="L213" s="92" t="s">
        <v>75</v>
      </c>
      <c r="M213" s="92" t="s">
        <v>76</v>
      </c>
      <c r="N213" s="92" t="s">
        <v>77</v>
      </c>
      <c r="O213" s="92" t="b">
        <v>1</v>
      </c>
      <c r="P213" s="92"/>
      <c r="Q213" s="92" t="s">
        <v>79</v>
      </c>
      <c r="R213" s="92" t="s">
        <v>80</v>
      </c>
      <c r="S213" s="92" t="b">
        <v>1</v>
      </c>
      <c r="T213" s="100">
        <v>1</v>
      </c>
      <c r="U213" s="100">
        <v>2.2242770493900915E+18</v>
      </c>
      <c r="V213" s="100"/>
    </row>
    <row r="214" spans="4:22" ht="15" customHeight="1">
      <c r="D214" s="98" t="b">
        <v>0</v>
      </c>
      <c r="E214" s="93">
        <v>1</v>
      </c>
      <c r="F214" s="91">
        <v>3</v>
      </c>
      <c r="G214" s="91" t="s">
        <v>81</v>
      </c>
      <c r="H214" s="92"/>
      <c r="I214" s="92">
        <v>1</v>
      </c>
      <c r="J214" s="92">
        <v>0</v>
      </c>
      <c r="K214" s="92">
        <v>24.15</v>
      </c>
      <c r="L214" s="92" t="s">
        <v>86</v>
      </c>
      <c r="M214" s="92" t="s">
        <v>76</v>
      </c>
      <c r="N214" s="92" t="s">
        <v>83</v>
      </c>
      <c r="O214" s="92" t="b">
        <v>0</v>
      </c>
      <c r="P214" s="92"/>
      <c r="Q214" s="92" t="s">
        <v>87</v>
      </c>
      <c r="R214" s="92" t="s">
        <v>85</v>
      </c>
      <c r="S214" s="92" t="b">
        <v>0</v>
      </c>
      <c r="T214" s="100">
        <v>1</v>
      </c>
      <c r="U214" s="100">
        <v>4.9382729447412214E+18</v>
      </c>
      <c r="V214" s="100"/>
    </row>
    <row r="215" spans="4:22" ht="15" customHeight="1">
      <c r="D215" s="98" t="b">
        <v>0</v>
      </c>
      <c r="E215" s="93">
        <v>0</v>
      </c>
      <c r="F215" s="91">
        <v>1</v>
      </c>
      <c r="G215" s="91" t="s">
        <v>74</v>
      </c>
      <c r="H215" s="92">
        <v>47</v>
      </c>
      <c r="I215" s="92">
        <v>0</v>
      </c>
      <c r="J215" s="92">
        <v>0</v>
      </c>
      <c r="K215" s="92">
        <v>52</v>
      </c>
      <c r="L215" s="92" t="s">
        <v>75</v>
      </c>
      <c r="M215" s="92" t="s">
        <v>82</v>
      </c>
      <c r="N215" s="92" t="s">
        <v>77</v>
      </c>
      <c r="O215" s="92" t="b">
        <v>1</v>
      </c>
      <c r="P215" s="92" t="s">
        <v>78</v>
      </c>
      <c r="Q215" s="92" t="s">
        <v>79</v>
      </c>
      <c r="R215" s="92" t="s">
        <v>80</v>
      </c>
      <c r="S215" s="92" t="b">
        <v>1</v>
      </c>
      <c r="T215" s="100">
        <v>0</v>
      </c>
      <c r="U215" s="100">
        <v>1.008274874253721E+19</v>
      </c>
      <c r="V215" s="100"/>
    </row>
    <row r="216" spans="4:22" ht="15" customHeight="1">
      <c r="D216" s="98" t="b">
        <v>0</v>
      </c>
      <c r="E216" s="93">
        <v>0</v>
      </c>
      <c r="F216" s="91">
        <v>3</v>
      </c>
      <c r="G216" s="91" t="s">
        <v>74</v>
      </c>
      <c r="H216" s="92">
        <v>22</v>
      </c>
      <c r="I216" s="92">
        <v>0</v>
      </c>
      <c r="J216" s="92">
        <v>0</v>
      </c>
      <c r="K216" s="92">
        <v>8.0500000000000007</v>
      </c>
      <c r="L216" s="92" t="s">
        <v>75</v>
      </c>
      <c r="M216" s="92" t="s">
        <v>76</v>
      </c>
      <c r="N216" s="92" t="s">
        <v>77</v>
      </c>
      <c r="O216" s="92" t="b">
        <v>1</v>
      </c>
      <c r="P216" s="92"/>
      <c r="Q216" s="92" t="s">
        <v>79</v>
      </c>
      <c r="R216" s="92" t="s">
        <v>80</v>
      </c>
      <c r="S216" s="92" t="b">
        <v>1</v>
      </c>
      <c r="T216" s="100">
        <v>1</v>
      </c>
      <c r="U216" s="100">
        <v>1.3716189280502122E+19</v>
      </c>
      <c r="V216" s="100"/>
    </row>
    <row r="217" spans="4:22" ht="15" customHeight="1">
      <c r="D217" s="98" t="b">
        <v>0</v>
      </c>
      <c r="E217" s="93">
        <v>0</v>
      </c>
      <c r="F217" s="91">
        <v>3</v>
      </c>
      <c r="G217" s="91" t="s">
        <v>81</v>
      </c>
      <c r="H217" s="92">
        <v>20</v>
      </c>
      <c r="I217" s="92">
        <v>1</v>
      </c>
      <c r="J217" s="92">
        <v>0</v>
      </c>
      <c r="K217" s="92">
        <v>9.8249999999999993</v>
      </c>
      <c r="L217" s="92" t="s">
        <v>75</v>
      </c>
      <c r="M217" s="92" t="s">
        <v>76</v>
      </c>
      <c r="N217" s="92" t="s">
        <v>83</v>
      </c>
      <c r="O217" s="92" t="b">
        <v>0</v>
      </c>
      <c r="P217" s="92"/>
      <c r="Q217" s="92" t="s">
        <v>79</v>
      </c>
      <c r="R217" s="92" t="s">
        <v>80</v>
      </c>
      <c r="S217" s="92" t="b">
        <v>0</v>
      </c>
      <c r="T217" s="100">
        <v>1</v>
      </c>
      <c r="U217" s="100">
        <v>7.3000607456597432E+18</v>
      </c>
      <c r="V217" s="100"/>
    </row>
    <row r="218" spans="4:22" ht="15" customHeight="1">
      <c r="D218" s="98" t="b">
        <v>0</v>
      </c>
      <c r="E218" s="93">
        <v>0</v>
      </c>
      <c r="F218" s="91">
        <v>3</v>
      </c>
      <c r="G218" s="91" t="s">
        <v>81</v>
      </c>
      <c r="H218" s="92">
        <v>17</v>
      </c>
      <c r="I218" s="92">
        <v>0</v>
      </c>
      <c r="J218" s="92">
        <v>0</v>
      </c>
      <c r="K218" s="92">
        <v>14.458299999999999</v>
      </c>
      <c r="L218" s="92" t="s">
        <v>78</v>
      </c>
      <c r="M218" s="92" t="s">
        <v>76</v>
      </c>
      <c r="N218" s="92" t="s">
        <v>83</v>
      </c>
      <c r="O218" s="92" t="b">
        <v>0</v>
      </c>
      <c r="P218" s="92"/>
      <c r="Q218" s="92" t="s">
        <v>84</v>
      </c>
      <c r="R218" s="92" t="s">
        <v>80</v>
      </c>
      <c r="S218" s="92" t="b">
        <v>1</v>
      </c>
      <c r="T218" s="100">
        <v>1</v>
      </c>
      <c r="U218" s="100">
        <v>9.5840267129652941E+18</v>
      </c>
      <c r="V218" s="100"/>
    </row>
    <row r="219" spans="4:22" ht="15" customHeight="1">
      <c r="D219" s="98" t="b">
        <v>0</v>
      </c>
      <c r="E219" s="93">
        <v>0</v>
      </c>
      <c r="F219" s="91">
        <v>3</v>
      </c>
      <c r="G219" s="91" t="s">
        <v>74</v>
      </c>
      <c r="H219" s="92">
        <v>21</v>
      </c>
      <c r="I219" s="92">
        <v>0</v>
      </c>
      <c r="J219" s="92">
        <v>0</v>
      </c>
      <c r="K219" s="92">
        <v>7.9249999999999998</v>
      </c>
      <c r="L219" s="92" t="s">
        <v>75</v>
      </c>
      <c r="M219" s="92" t="s">
        <v>76</v>
      </c>
      <c r="N219" s="92" t="s">
        <v>77</v>
      </c>
      <c r="O219" s="92" t="b">
        <v>1</v>
      </c>
      <c r="P219" s="92"/>
      <c r="Q219" s="92" t="s">
        <v>79</v>
      </c>
      <c r="R219" s="92" t="s">
        <v>80</v>
      </c>
      <c r="S219" s="92" t="b">
        <v>1</v>
      </c>
      <c r="T219" s="100">
        <v>1</v>
      </c>
      <c r="U219" s="100">
        <v>4.8170586333350257E+18</v>
      </c>
      <c r="V219" s="100"/>
    </row>
    <row r="220" spans="4:22" ht="15" customHeight="1">
      <c r="D220" s="98" t="b">
        <v>0</v>
      </c>
      <c r="E220" s="93">
        <v>0</v>
      </c>
      <c r="F220" s="91">
        <v>2</v>
      </c>
      <c r="G220" s="91" t="s">
        <v>74</v>
      </c>
      <c r="H220" s="92">
        <v>29</v>
      </c>
      <c r="I220" s="92">
        <v>1</v>
      </c>
      <c r="J220" s="92">
        <v>0</v>
      </c>
      <c r="K220" s="92">
        <v>21</v>
      </c>
      <c r="L220" s="92" t="s">
        <v>75</v>
      </c>
      <c r="M220" s="92" t="s">
        <v>90</v>
      </c>
      <c r="N220" s="92" t="s">
        <v>77</v>
      </c>
      <c r="O220" s="92" t="b">
        <v>1</v>
      </c>
      <c r="P220" s="92"/>
      <c r="Q220" s="92" t="s">
        <v>79</v>
      </c>
      <c r="R220" s="92" t="s">
        <v>80</v>
      </c>
      <c r="S220" s="92" t="b">
        <v>0</v>
      </c>
      <c r="T220" s="100">
        <v>1</v>
      </c>
      <c r="U220" s="100">
        <v>1.1994071697703377E+19</v>
      </c>
      <c r="V220" s="100"/>
    </row>
    <row r="221" spans="4:22" ht="15" customHeight="1">
      <c r="D221" s="98" t="b">
        <v>0</v>
      </c>
      <c r="E221" s="93">
        <v>0</v>
      </c>
      <c r="F221" s="91">
        <v>1</v>
      </c>
      <c r="G221" s="91" t="s">
        <v>74</v>
      </c>
      <c r="H221" s="92">
        <v>24</v>
      </c>
      <c r="I221" s="92">
        <v>0</v>
      </c>
      <c r="J221" s="92">
        <v>1</v>
      </c>
      <c r="K221" s="92">
        <v>247.52080000000001</v>
      </c>
      <c r="L221" s="92" t="s">
        <v>78</v>
      </c>
      <c r="M221" s="92" t="s">
        <v>82</v>
      </c>
      <c r="N221" s="92" t="s">
        <v>77</v>
      </c>
      <c r="O221" s="92" t="b">
        <v>1</v>
      </c>
      <c r="P221" s="92" t="s">
        <v>94</v>
      </c>
      <c r="Q221" s="92" t="s">
        <v>84</v>
      </c>
      <c r="R221" s="92" t="s">
        <v>80</v>
      </c>
      <c r="S221" s="92" t="b">
        <v>0</v>
      </c>
      <c r="T221" s="100">
        <v>0</v>
      </c>
      <c r="U221" s="100">
        <v>1.6221554440477182E+19</v>
      </c>
      <c r="V221" s="100"/>
    </row>
    <row r="222" spans="4:22" ht="15" customHeight="1">
      <c r="D222" s="98" t="b">
        <v>0</v>
      </c>
      <c r="E222" s="93">
        <v>0</v>
      </c>
      <c r="F222" s="91">
        <v>3</v>
      </c>
      <c r="G222" s="91" t="s">
        <v>81</v>
      </c>
      <c r="H222" s="92">
        <v>2</v>
      </c>
      <c r="I222" s="92">
        <v>4</v>
      </c>
      <c r="J222" s="92">
        <v>2</v>
      </c>
      <c r="K222" s="92">
        <v>31.274999999999999</v>
      </c>
      <c r="L222" s="92" t="s">
        <v>75</v>
      </c>
      <c r="M222" s="92" t="s">
        <v>76</v>
      </c>
      <c r="N222" s="92" t="s">
        <v>89</v>
      </c>
      <c r="O222" s="92" t="b">
        <v>0</v>
      </c>
      <c r="P222" s="92"/>
      <c r="Q222" s="92" t="s">
        <v>79</v>
      </c>
      <c r="R222" s="92" t="s">
        <v>80</v>
      </c>
      <c r="S222" s="92" t="b">
        <v>0</v>
      </c>
      <c r="T222" s="100">
        <v>1</v>
      </c>
      <c r="U222" s="100">
        <v>9.8309114738402673E+18</v>
      </c>
      <c r="V222" s="100"/>
    </row>
    <row r="223" spans="4:22" ht="15" customHeight="1">
      <c r="D223" s="98" t="b">
        <v>0</v>
      </c>
      <c r="E223" s="93">
        <v>0</v>
      </c>
      <c r="F223" s="91">
        <v>2</v>
      </c>
      <c r="G223" s="91" t="s">
        <v>74</v>
      </c>
      <c r="H223" s="92">
        <v>21</v>
      </c>
      <c r="I223" s="92">
        <v>2</v>
      </c>
      <c r="J223" s="92">
        <v>0</v>
      </c>
      <c r="K223" s="92">
        <v>73.5</v>
      </c>
      <c r="L223" s="92" t="s">
        <v>75</v>
      </c>
      <c r="M223" s="92" t="s">
        <v>90</v>
      </c>
      <c r="N223" s="92" t="s">
        <v>77</v>
      </c>
      <c r="O223" s="92" t="b">
        <v>1</v>
      </c>
      <c r="P223" s="92"/>
      <c r="Q223" s="92" t="s">
        <v>79</v>
      </c>
      <c r="R223" s="92" t="s">
        <v>80</v>
      </c>
      <c r="S223" s="92" t="b">
        <v>0</v>
      </c>
      <c r="T223" s="100">
        <v>1</v>
      </c>
      <c r="U223" s="100">
        <v>2.2843046700435168E+16</v>
      </c>
      <c r="V223" s="100"/>
    </row>
    <row r="224" spans="4:22" ht="15" customHeight="1">
      <c r="D224" s="98" t="b">
        <v>0</v>
      </c>
      <c r="E224" s="93">
        <v>0</v>
      </c>
      <c r="F224" s="91">
        <v>3</v>
      </c>
      <c r="G224" s="91" t="s">
        <v>74</v>
      </c>
      <c r="H224" s="92"/>
      <c r="I224" s="92">
        <v>0</v>
      </c>
      <c r="J224" s="92">
        <v>0</v>
      </c>
      <c r="K224" s="92">
        <v>8.0500000000000007</v>
      </c>
      <c r="L224" s="92" t="s">
        <v>75</v>
      </c>
      <c r="M224" s="92" t="s">
        <v>76</v>
      </c>
      <c r="N224" s="92" t="s">
        <v>77</v>
      </c>
      <c r="O224" s="92" t="b">
        <v>1</v>
      </c>
      <c r="P224" s="92"/>
      <c r="Q224" s="92" t="s">
        <v>79</v>
      </c>
      <c r="R224" s="92" t="s">
        <v>80</v>
      </c>
      <c r="S224" s="92" t="b">
        <v>1</v>
      </c>
      <c r="T224" s="100">
        <v>1</v>
      </c>
      <c r="U224" s="100">
        <v>1.036563458869572E+19</v>
      </c>
      <c r="V224" s="100"/>
    </row>
    <row r="225" spans="4:22" ht="15" customHeight="1">
      <c r="D225" s="98" t="b">
        <v>0</v>
      </c>
      <c r="E225" s="93">
        <v>0</v>
      </c>
      <c r="F225" s="91">
        <v>1</v>
      </c>
      <c r="G225" s="91" t="s">
        <v>74</v>
      </c>
      <c r="H225" s="92">
        <v>54</v>
      </c>
      <c r="I225" s="92">
        <v>0</v>
      </c>
      <c r="J225" s="92">
        <v>1</v>
      </c>
      <c r="K225" s="92">
        <v>77.287499999999994</v>
      </c>
      <c r="L225" s="92" t="s">
        <v>75</v>
      </c>
      <c r="M225" s="92" t="s">
        <v>82</v>
      </c>
      <c r="N225" s="92" t="s">
        <v>77</v>
      </c>
      <c r="O225" s="92" t="b">
        <v>1</v>
      </c>
      <c r="P225" s="92" t="s">
        <v>92</v>
      </c>
      <c r="Q225" s="92" t="s">
        <v>79</v>
      </c>
      <c r="R225" s="92" t="s">
        <v>80</v>
      </c>
      <c r="S225" s="92" t="b">
        <v>0</v>
      </c>
      <c r="T225" s="100">
        <v>0</v>
      </c>
      <c r="U225" s="100">
        <v>1.0476045223812295E+19</v>
      </c>
      <c r="V225" s="100"/>
    </row>
    <row r="226" spans="4:22" ht="15" customHeight="1">
      <c r="D226" s="98" t="b">
        <v>0</v>
      </c>
      <c r="E226" s="93">
        <v>1</v>
      </c>
      <c r="F226" s="91">
        <v>3</v>
      </c>
      <c r="G226" s="91" t="s">
        <v>74</v>
      </c>
      <c r="H226" s="92">
        <v>12</v>
      </c>
      <c r="I226" s="92">
        <v>1</v>
      </c>
      <c r="J226" s="92">
        <v>0</v>
      </c>
      <c r="K226" s="92">
        <v>11.2417</v>
      </c>
      <c r="L226" s="92" t="s">
        <v>78</v>
      </c>
      <c r="M226" s="92" t="s">
        <v>76</v>
      </c>
      <c r="N226" s="92" t="s">
        <v>89</v>
      </c>
      <c r="O226" s="92" t="b">
        <v>0</v>
      </c>
      <c r="P226" s="92"/>
      <c r="Q226" s="92" t="s">
        <v>84</v>
      </c>
      <c r="R226" s="92" t="s">
        <v>85</v>
      </c>
      <c r="S226" s="92" t="b">
        <v>0</v>
      </c>
      <c r="T226" s="100">
        <v>1</v>
      </c>
      <c r="U226" s="100">
        <v>7.2268332015695811E+18</v>
      </c>
      <c r="V226" s="100"/>
    </row>
    <row r="227" spans="4:22" ht="15" customHeight="1">
      <c r="D227" s="98" t="b">
        <v>0</v>
      </c>
      <c r="E227" s="93">
        <v>0</v>
      </c>
      <c r="F227" s="91">
        <v>3</v>
      </c>
      <c r="G227" s="91" t="s">
        <v>74</v>
      </c>
      <c r="H227" s="92"/>
      <c r="I227" s="92">
        <v>0</v>
      </c>
      <c r="J227" s="92">
        <v>0</v>
      </c>
      <c r="K227" s="92">
        <v>7.75</v>
      </c>
      <c r="L227" s="92" t="s">
        <v>86</v>
      </c>
      <c r="M227" s="92" t="s">
        <v>76</v>
      </c>
      <c r="N227" s="92" t="s">
        <v>77</v>
      </c>
      <c r="O227" s="92" t="b">
        <v>1</v>
      </c>
      <c r="P227" s="92"/>
      <c r="Q227" s="92" t="s">
        <v>87</v>
      </c>
      <c r="R227" s="92" t="s">
        <v>80</v>
      </c>
      <c r="S227" s="92" t="b">
        <v>1</v>
      </c>
      <c r="T227" s="100">
        <v>1</v>
      </c>
      <c r="U227" s="100">
        <v>1.8659124076202463E+18</v>
      </c>
      <c r="V227" s="100"/>
    </row>
    <row r="228" spans="4:22" ht="15" customHeight="1">
      <c r="D228" s="98" t="b">
        <v>0</v>
      </c>
      <c r="E228" s="93">
        <v>1</v>
      </c>
      <c r="F228" s="91">
        <v>3</v>
      </c>
      <c r="G228" s="91" t="s">
        <v>74</v>
      </c>
      <c r="H228" s="92">
        <v>24</v>
      </c>
      <c r="I228" s="92">
        <v>0</v>
      </c>
      <c r="J228" s="92">
        <v>0</v>
      </c>
      <c r="K228" s="92">
        <v>7.1417000000000002</v>
      </c>
      <c r="L228" s="92" t="s">
        <v>75</v>
      </c>
      <c r="M228" s="92" t="s">
        <v>76</v>
      </c>
      <c r="N228" s="92" t="s">
        <v>77</v>
      </c>
      <c r="O228" s="92" t="b">
        <v>1</v>
      </c>
      <c r="P228" s="92"/>
      <c r="Q228" s="92" t="s">
        <v>79</v>
      </c>
      <c r="R228" s="92" t="s">
        <v>85</v>
      </c>
      <c r="S228" s="92" t="b">
        <v>1</v>
      </c>
      <c r="T228" s="100">
        <v>1</v>
      </c>
      <c r="U228" s="100">
        <v>1.6651562754781199E+18</v>
      </c>
      <c r="V228" s="100"/>
    </row>
    <row r="229" spans="4:22" ht="15" customHeight="1">
      <c r="D229" s="98" t="b">
        <v>0</v>
      </c>
      <c r="E229" s="93">
        <v>1</v>
      </c>
      <c r="F229" s="91">
        <v>3</v>
      </c>
      <c r="G229" s="91" t="s">
        <v>81</v>
      </c>
      <c r="H229" s="92"/>
      <c r="I229" s="92">
        <v>1</v>
      </c>
      <c r="J229" s="92">
        <v>1</v>
      </c>
      <c r="K229" s="92">
        <v>22.3583</v>
      </c>
      <c r="L229" s="92" t="s">
        <v>78</v>
      </c>
      <c r="M229" s="92" t="s">
        <v>76</v>
      </c>
      <c r="N229" s="92" t="s">
        <v>83</v>
      </c>
      <c r="O229" s="92" t="b">
        <v>0</v>
      </c>
      <c r="P229" s="92" t="s">
        <v>95</v>
      </c>
      <c r="Q229" s="92" t="s">
        <v>84</v>
      </c>
      <c r="R229" s="92" t="s">
        <v>85</v>
      </c>
      <c r="S229" s="92" t="b">
        <v>0</v>
      </c>
      <c r="T229" s="100">
        <v>1</v>
      </c>
      <c r="U229" s="100">
        <v>8.2211415110882908E+18</v>
      </c>
      <c r="V229" s="100"/>
    </row>
    <row r="230" spans="4:22" ht="15" customHeight="1">
      <c r="D230" s="98" t="b">
        <v>0</v>
      </c>
      <c r="E230" s="93">
        <v>0</v>
      </c>
      <c r="F230" s="91">
        <v>3</v>
      </c>
      <c r="G230" s="91" t="s">
        <v>74</v>
      </c>
      <c r="H230" s="92">
        <v>45</v>
      </c>
      <c r="I230" s="92">
        <v>0</v>
      </c>
      <c r="J230" s="92">
        <v>0</v>
      </c>
      <c r="K230" s="92">
        <v>6.9749999999999996</v>
      </c>
      <c r="L230" s="92" t="s">
        <v>75</v>
      </c>
      <c r="M230" s="92" t="s">
        <v>76</v>
      </c>
      <c r="N230" s="92" t="s">
        <v>77</v>
      </c>
      <c r="O230" s="92" t="b">
        <v>1</v>
      </c>
      <c r="P230" s="92"/>
      <c r="Q230" s="92" t="s">
        <v>79</v>
      </c>
      <c r="R230" s="92" t="s">
        <v>80</v>
      </c>
      <c r="S230" s="92" t="b">
        <v>1</v>
      </c>
      <c r="T230" s="100">
        <v>1</v>
      </c>
      <c r="U230" s="100">
        <v>1.5772598660173462E+19</v>
      </c>
      <c r="V230" s="100"/>
    </row>
    <row r="231" spans="4:22" ht="15" customHeight="1">
      <c r="D231" s="98" t="b">
        <v>0</v>
      </c>
      <c r="E231" s="93">
        <v>0</v>
      </c>
      <c r="F231" s="91">
        <v>3</v>
      </c>
      <c r="G231" s="91" t="s">
        <v>74</v>
      </c>
      <c r="H231" s="92">
        <v>33</v>
      </c>
      <c r="I231" s="92">
        <v>0</v>
      </c>
      <c r="J231" s="92">
        <v>0</v>
      </c>
      <c r="K231" s="92">
        <v>7.8958000000000004</v>
      </c>
      <c r="L231" s="92" t="s">
        <v>78</v>
      </c>
      <c r="M231" s="92" t="s">
        <v>76</v>
      </c>
      <c r="N231" s="92" t="s">
        <v>77</v>
      </c>
      <c r="O231" s="92" t="b">
        <v>1</v>
      </c>
      <c r="P231" s="92"/>
      <c r="Q231" s="92" t="s">
        <v>84</v>
      </c>
      <c r="R231" s="92" t="s">
        <v>80</v>
      </c>
      <c r="S231" s="92" t="b">
        <v>1</v>
      </c>
      <c r="T231" s="100">
        <v>1</v>
      </c>
      <c r="U231" s="100">
        <v>1.0354287598059969E+19</v>
      </c>
      <c r="V231" s="100"/>
    </row>
    <row r="232" spans="4:22" ht="15" customHeight="1">
      <c r="D232" s="98" t="b">
        <v>0</v>
      </c>
      <c r="E232" s="93">
        <v>0</v>
      </c>
      <c r="F232" s="91">
        <v>3</v>
      </c>
      <c r="G232" s="91" t="s">
        <v>74</v>
      </c>
      <c r="H232" s="92">
        <v>20</v>
      </c>
      <c r="I232" s="92">
        <v>0</v>
      </c>
      <c r="J232" s="92">
        <v>0</v>
      </c>
      <c r="K232" s="92">
        <v>7.05</v>
      </c>
      <c r="L232" s="92" t="s">
        <v>75</v>
      </c>
      <c r="M232" s="92" t="s">
        <v>76</v>
      </c>
      <c r="N232" s="92" t="s">
        <v>77</v>
      </c>
      <c r="O232" s="92" t="b">
        <v>1</v>
      </c>
      <c r="P232" s="92"/>
      <c r="Q232" s="92" t="s">
        <v>79</v>
      </c>
      <c r="R232" s="92" t="s">
        <v>80</v>
      </c>
      <c r="S232" s="92" t="b">
        <v>1</v>
      </c>
      <c r="T232" s="100">
        <v>1</v>
      </c>
      <c r="U232" s="100">
        <v>1.0890407900348301E+19</v>
      </c>
      <c r="V232" s="100"/>
    </row>
    <row r="233" spans="4:22" ht="15" customHeight="1">
      <c r="D233" s="98" t="b">
        <v>0</v>
      </c>
      <c r="E233" s="93">
        <v>0</v>
      </c>
      <c r="F233" s="91">
        <v>3</v>
      </c>
      <c r="G233" s="91" t="s">
        <v>81</v>
      </c>
      <c r="H233" s="92">
        <v>47</v>
      </c>
      <c r="I233" s="92">
        <v>1</v>
      </c>
      <c r="J233" s="92">
        <v>0</v>
      </c>
      <c r="K233" s="92">
        <v>14.5</v>
      </c>
      <c r="L233" s="92" t="s">
        <v>75</v>
      </c>
      <c r="M233" s="92" t="s">
        <v>76</v>
      </c>
      <c r="N233" s="92" t="s">
        <v>83</v>
      </c>
      <c r="O233" s="92" t="b">
        <v>0</v>
      </c>
      <c r="P233" s="92"/>
      <c r="Q233" s="92" t="s">
        <v>79</v>
      </c>
      <c r="R233" s="92" t="s">
        <v>80</v>
      </c>
      <c r="S233" s="92" t="b">
        <v>0</v>
      </c>
      <c r="T233" s="100">
        <v>1</v>
      </c>
      <c r="U233" s="100">
        <v>3.3695311091502643E+18</v>
      </c>
      <c r="V233" s="100"/>
    </row>
    <row r="234" spans="4:22" ht="15" customHeight="1">
      <c r="D234" s="98" t="b">
        <v>0</v>
      </c>
      <c r="E234" s="93">
        <v>1</v>
      </c>
      <c r="F234" s="91">
        <v>2</v>
      </c>
      <c r="G234" s="91" t="s">
        <v>81</v>
      </c>
      <c r="H234" s="92">
        <v>29</v>
      </c>
      <c r="I234" s="92">
        <v>1</v>
      </c>
      <c r="J234" s="92">
        <v>0</v>
      </c>
      <c r="K234" s="92">
        <v>26</v>
      </c>
      <c r="L234" s="92" t="s">
        <v>75</v>
      </c>
      <c r="M234" s="92" t="s">
        <v>90</v>
      </c>
      <c r="N234" s="92" t="s">
        <v>83</v>
      </c>
      <c r="O234" s="92" t="b">
        <v>0</v>
      </c>
      <c r="P234" s="92"/>
      <c r="Q234" s="92" t="s">
        <v>79</v>
      </c>
      <c r="R234" s="92" t="s">
        <v>85</v>
      </c>
      <c r="S234" s="92" t="b">
        <v>0</v>
      </c>
      <c r="T234" s="100">
        <v>1</v>
      </c>
      <c r="U234" s="100">
        <v>1.4697962808657678E+19</v>
      </c>
      <c r="V234" s="100"/>
    </row>
    <row r="235" spans="4:22" ht="15" customHeight="1">
      <c r="D235" s="98" t="b">
        <v>0</v>
      </c>
      <c r="E235" s="93">
        <v>0</v>
      </c>
      <c r="F235" s="91">
        <v>2</v>
      </c>
      <c r="G235" s="91" t="s">
        <v>74</v>
      </c>
      <c r="H235" s="92">
        <v>25</v>
      </c>
      <c r="I235" s="92">
        <v>0</v>
      </c>
      <c r="J235" s="92">
        <v>0</v>
      </c>
      <c r="K235" s="92">
        <v>13</v>
      </c>
      <c r="L235" s="92" t="s">
        <v>75</v>
      </c>
      <c r="M235" s="92" t="s">
        <v>90</v>
      </c>
      <c r="N235" s="92" t="s">
        <v>77</v>
      </c>
      <c r="O235" s="92" t="b">
        <v>1</v>
      </c>
      <c r="P235" s="92"/>
      <c r="Q235" s="92" t="s">
        <v>79</v>
      </c>
      <c r="R235" s="92" t="s">
        <v>80</v>
      </c>
      <c r="S235" s="92" t="b">
        <v>1</v>
      </c>
      <c r="T235" s="100">
        <v>1</v>
      </c>
      <c r="U235" s="100">
        <v>1.6671839457297043E+19</v>
      </c>
      <c r="V235" s="100"/>
    </row>
    <row r="236" spans="4:22" ht="15" customHeight="1">
      <c r="D236" s="98" t="b">
        <v>0</v>
      </c>
      <c r="E236" s="93">
        <v>0</v>
      </c>
      <c r="F236" s="91">
        <v>2</v>
      </c>
      <c r="G236" s="91" t="s">
        <v>74</v>
      </c>
      <c r="H236" s="92">
        <v>23</v>
      </c>
      <c r="I236" s="92">
        <v>0</v>
      </c>
      <c r="J236" s="92">
        <v>0</v>
      </c>
      <c r="K236" s="92">
        <v>15.0458</v>
      </c>
      <c r="L236" s="92" t="s">
        <v>78</v>
      </c>
      <c r="M236" s="92" t="s">
        <v>90</v>
      </c>
      <c r="N236" s="92" t="s">
        <v>77</v>
      </c>
      <c r="O236" s="92" t="b">
        <v>1</v>
      </c>
      <c r="P236" s="92"/>
      <c r="Q236" s="92" t="s">
        <v>84</v>
      </c>
      <c r="R236" s="92" t="s">
        <v>80</v>
      </c>
      <c r="S236" s="92" t="b">
        <v>1</v>
      </c>
      <c r="T236" s="100">
        <v>1</v>
      </c>
      <c r="U236" s="100">
        <v>1.126699897062937E+19</v>
      </c>
      <c r="V236" s="100"/>
    </row>
    <row r="237" spans="4:22" ht="15" customHeight="1">
      <c r="D237" s="98" t="b">
        <v>0</v>
      </c>
      <c r="E237" s="93">
        <v>1</v>
      </c>
      <c r="F237" s="91">
        <v>1</v>
      </c>
      <c r="G237" s="91" t="s">
        <v>81</v>
      </c>
      <c r="H237" s="92">
        <v>19</v>
      </c>
      <c r="I237" s="92">
        <v>0</v>
      </c>
      <c r="J237" s="92">
        <v>2</v>
      </c>
      <c r="K237" s="92">
        <v>26.283300000000001</v>
      </c>
      <c r="L237" s="92" t="s">
        <v>75</v>
      </c>
      <c r="M237" s="92" t="s">
        <v>82</v>
      </c>
      <c r="N237" s="92" t="s">
        <v>83</v>
      </c>
      <c r="O237" s="92" t="b">
        <v>0</v>
      </c>
      <c r="P237" s="92" t="s">
        <v>92</v>
      </c>
      <c r="Q237" s="92" t="s">
        <v>79</v>
      </c>
      <c r="R237" s="92" t="s">
        <v>85</v>
      </c>
      <c r="S237" s="92" t="b">
        <v>0</v>
      </c>
      <c r="T237" s="100">
        <v>0</v>
      </c>
      <c r="U237" s="100">
        <v>4.9971212785217577E+18</v>
      </c>
      <c r="V237" s="100"/>
    </row>
    <row r="238" spans="4:22" ht="15" customHeight="1">
      <c r="D238" s="98" t="b">
        <v>0</v>
      </c>
      <c r="E238" s="93">
        <v>0</v>
      </c>
      <c r="F238" s="91">
        <v>1</v>
      </c>
      <c r="G238" s="91" t="s">
        <v>74</v>
      </c>
      <c r="H238" s="92">
        <v>37</v>
      </c>
      <c r="I238" s="92">
        <v>1</v>
      </c>
      <c r="J238" s="92">
        <v>0</v>
      </c>
      <c r="K238" s="92">
        <v>53.1</v>
      </c>
      <c r="L238" s="92" t="s">
        <v>75</v>
      </c>
      <c r="M238" s="92" t="s">
        <v>82</v>
      </c>
      <c r="N238" s="92" t="s">
        <v>77</v>
      </c>
      <c r="O238" s="92" t="b">
        <v>1</v>
      </c>
      <c r="P238" s="92" t="s">
        <v>78</v>
      </c>
      <c r="Q238" s="92" t="s">
        <v>79</v>
      </c>
      <c r="R238" s="92" t="s">
        <v>80</v>
      </c>
      <c r="S238" s="92" t="b">
        <v>0</v>
      </c>
      <c r="T238" s="100">
        <v>0</v>
      </c>
      <c r="U238" s="100">
        <v>8.1898365960851558E+18</v>
      </c>
      <c r="V238" s="100"/>
    </row>
    <row r="239" spans="4:22" ht="15" customHeight="1">
      <c r="D239" s="98" t="b">
        <v>0</v>
      </c>
      <c r="E239" s="93">
        <v>0</v>
      </c>
      <c r="F239" s="91">
        <v>3</v>
      </c>
      <c r="G239" s="91" t="s">
        <v>74</v>
      </c>
      <c r="H239" s="92">
        <v>16</v>
      </c>
      <c r="I239" s="92">
        <v>0</v>
      </c>
      <c r="J239" s="92">
        <v>0</v>
      </c>
      <c r="K239" s="92">
        <v>9.2166999999999994</v>
      </c>
      <c r="L239" s="92" t="s">
        <v>75</v>
      </c>
      <c r="M239" s="92" t="s">
        <v>76</v>
      </c>
      <c r="N239" s="92" t="s">
        <v>77</v>
      </c>
      <c r="O239" s="92" t="b">
        <v>1</v>
      </c>
      <c r="P239" s="92"/>
      <c r="Q239" s="92" t="s">
        <v>79</v>
      </c>
      <c r="R239" s="92" t="s">
        <v>80</v>
      </c>
      <c r="S239" s="92" t="b">
        <v>1</v>
      </c>
      <c r="T239" s="100">
        <v>1</v>
      </c>
      <c r="U239" s="100">
        <v>1.6401464738038358E+19</v>
      </c>
      <c r="V239" s="100"/>
    </row>
    <row r="240" spans="4:22" ht="15" customHeight="1">
      <c r="D240" s="98" t="b">
        <v>0</v>
      </c>
      <c r="E240" s="93">
        <v>0</v>
      </c>
      <c r="F240" s="91">
        <v>1</v>
      </c>
      <c r="G240" s="91" t="s">
        <v>74</v>
      </c>
      <c r="H240" s="92">
        <v>24</v>
      </c>
      <c r="I240" s="92">
        <v>0</v>
      </c>
      <c r="J240" s="92">
        <v>0</v>
      </c>
      <c r="K240" s="92">
        <v>79.2</v>
      </c>
      <c r="L240" s="92" t="s">
        <v>78</v>
      </c>
      <c r="M240" s="92" t="s">
        <v>82</v>
      </c>
      <c r="N240" s="92" t="s">
        <v>77</v>
      </c>
      <c r="O240" s="92" t="b">
        <v>1</v>
      </c>
      <c r="P240" s="92" t="s">
        <v>94</v>
      </c>
      <c r="Q240" s="92" t="s">
        <v>84</v>
      </c>
      <c r="R240" s="92" t="s">
        <v>80</v>
      </c>
      <c r="S240" s="92" t="b">
        <v>1</v>
      </c>
      <c r="T240" s="100">
        <v>0</v>
      </c>
      <c r="U240" s="100">
        <v>9.1400207280893174E+18</v>
      </c>
      <c r="V240" s="100"/>
    </row>
    <row r="241" spans="4:22" ht="15" customHeight="1">
      <c r="D241" s="98" t="b">
        <v>0</v>
      </c>
      <c r="E241" s="93">
        <v>0</v>
      </c>
      <c r="F241" s="91">
        <v>3</v>
      </c>
      <c r="G241" s="91" t="s">
        <v>81</v>
      </c>
      <c r="H241" s="92"/>
      <c r="I241" s="92">
        <v>0</v>
      </c>
      <c r="J241" s="92">
        <v>2</v>
      </c>
      <c r="K241" s="92">
        <v>15.245799999999999</v>
      </c>
      <c r="L241" s="92" t="s">
        <v>78</v>
      </c>
      <c r="M241" s="92" t="s">
        <v>76</v>
      </c>
      <c r="N241" s="92" t="s">
        <v>83</v>
      </c>
      <c r="O241" s="92" t="b">
        <v>0</v>
      </c>
      <c r="P241" s="92"/>
      <c r="Q241" s="92" t="s">
        <v>84</v>
      </c>
      <c r="R241" s="92" t="s">
        <v>80</v>
      </c>
      <c r="S241" s="92" t="b">
        <v>0</v>
      </c>
      <c r="T241" s="100">
        <v>1</v>
      </c>
      <c r="U241" s="100">
        <v>1.6748920886141432E+19</v>
      </c>
      <c r="V241" s="100"/>
    </row>
    <row r="242" spans="4:22" ht="15" customHeight="1">
      <c r="D242" s="98" t="b">
        <v>0</v>
      </c>
      <c r="E242" s="93">
        <v>1</v>
      </c>
      <c r="F242" s="91">
        <v>3</v>
      </c>
      <c r="G242" s="91" t="s">
        <v>81</v>
      </c>
      <c r="H242" s="92">
        <v>22</v>
      </c>
      <c r="I242" s="92">
        <v>0</v>
      </c>
      <c r="J242" s="92">
        <v>0</v>
      </c>
      <c r="K242" s="92">
        <v>7.75</v>
      </c>
      <c r="L242" s="92" t="s">
        <v>75</v>
      </c>
      <c r="M242" s="92" t="s">
        <v>76</v>
      </c>
      <c r="N242" s="92" t="s">
        <v>83</v>
      </c>
      <c r="O242" s="92" t="b">
        <v>0</v>
      </c>
      <c r="P242" s="92"/>
      <c r="Q242" s="92" t="s">
        <v>79</v>
      </c>
      <c r="R242" s="92" t="s">
        <v>85</v>
      </c>
      <c r="S242" s="92" t="b">
        <v>1</v>
      </c>
      <c r="T242" s="100">
        <v>1</v>
      </c>
      <c r="U242" s="100">
        <v>2.9590258535056205E+18</v>
      </c>
      <c r="V242" s="100"/>
    </row>
    <row r="243" spans="4:22" ht="15" customHeight="1">
      <c r="D243" s="98" t="b">
        <v>0</v>
      </c>
      <c r="E243" s="93">
        <v>1</v>
      </c>
      <c r="F243" s="91">
        <v>3</v>
      </c>
      <c r="G243" s="91" t="s">
        <v>81</v>
      </c>
      <c r="H243" s="92">
        <v>24</v>
      </c>
      <c r="I243" s="92">
        <v>1</v>
      </c>
      <c r="J243" s="92">
        <v>0</v>
      </c>
      <c r="K243" s="92">
        <v>15.85</v>
      </c>
      <c r="L243" s="92" t="s">
        <v>75</v>
      </c>
      <c r="M243" s="92" t="s">
        <v>76</v>
      </c>
      <c r="N243" s="92" t="s">
        <v>83</v>
      </c>
      <c r="O243" s="92" t="b">
        <v>0</v>
      </c>
      <c r="P243" s="92"/>
      <c r="Q243" s="92" t="s">
        <v>79</v>
      </c>
      <c r="R243" s="92" t="s">
        <v>85</v>
      </c>
      <c r="S243" s="92" t="b">
        <v>0</v>
      </c>
      <c r="T243" s="100">
        <v>1</v>
      </c>
      <c r="U243" s="100">
        <v>1.7866362916779069E+19</v>
      </c>
      <c r="V243" s="100"/>
    </row>
    <row r="244" spans="4:22" ht="15" customHeight="1">
      <c r="D244" s="98" t="b">
        <v>0</v>
      </c>
      <c r="E244" s="93">
        <v>0</v>
      </c>
      <c r="F244" s="91">
        <v>3</v>
      </c>
      <c r="G244" s="91" t="s">
        <v>74</v>
      </c>
      <c r="H244" s="92">
        <v>19</v>
      </c>
      <c r="I244" s="92">
        <v>0</v>
      </c>
      <c r="J244" s="92">
        <v>0</v>
      </c>
      <c r="K244" s="92">
        <v>6.75</v>
      </c>
      <c r="L244" s="92" t="s">
        <v>86</v>
      </c>
      <c r="M244" s="92" t="s">
        <v>76</v>
      </c>
      <c r="N244" s="92" t="s">
        <v>77</v>
      </c>
      <c r="O244" s="92" t="b">
        <v>1</v>
      </c>
      <c r="P244" s="92"/>
      <c r="Q244" s="92" t="s">
        <v>87</v>
      </c>
      <c r="R244" s="92" t="s">
        <v>80</v>
      </c>
      <c r="S244" s="92" t="b">
        <v>1</v>
      </c>
      <c r="T244" s="100">
        <v>1</v>
      </c>
      <c r="U244" s="100">
        <v>1.5614163371785187E+19</v>
      </c>
      <c r="V244" s="100"/>
    </row>
    <row r="245" spans="4:22" ht="15" customHeight="1">
      <c r="D245" s="98" t="b">
        <v>0</v>
      </c>
      <c r="E245" s="93">
        <v>0</v>
      </c>
      <c r="F245" s="91">
        <v>2</v>
      </c>
      <c r="G245" s="91" t="s">
        <v>74</v>
      </c>
      <c r="H245" s="92">
        <v>18</v>
      </c>
      <c r="I245" s="92">
        <v>0</v>
      </c>
      <c r="J245" s="92">
        <v>0</v>
      </c>
      <c r="K245" s="92">
        <v>11.5</v>
      </c>
      <c r="L245" s="92" t="s">
        <v>75</v>
      </c>
      <c r="M245" s="92" t="s">
        <v>90</v>
      </c>
      <c r="N245" s="92" t="s">
        <v>77</v>
      </c>
      <c r="O245" s="92" t="b">
        <v>1</v>
      </c>
      <c r="P245" s="92"/>
      <c r="Q245" s="92" t="s">
        <v>79</v>
      </c>
      <c r="R245" s="92" t="s">
        <v>80</v>
      </c>
      <c r="S245" s="92" t="b">
        <v>1</v>
      </c>
      <c r="T245" s="100">
        <v>1</v>
      </c>
      <c r="U245" s="100">
        <v>6.9152135218229719E+18</v>
      </c>
      <c r="V245" s="100"/>
    </row>
    <row r="246" spans="4:22" ht="15" customHeight="1">
      <c r="D246" s="98" t="b">
        <v>0</v>
      </c>
      <c r="E246" s="93">
        <v>0</v>
      </c>
      <c r="F246" s="91">
        <v>2</v>
      </c>
      <c r="G246" s="91" t="s">
        <v>74</v>
      </c>
      <c r="H246" s="92">
        <v>19</v>
      </c>
      <c r="I246" s="92">
        <v>1</v>
      </c>
      <c r="J246" s="92">
        <v>1</v>
      </c>
      <c r="K246" s="92">
        <v>36.75</v>
      </c>
      <c r="L246" s="92" t="s">
        <v>75</v>
      </c>
      <c r="M246" s="92" t="s">
        <v>90</v>
      </c>
      <c r="N246" s="92" t="s">
        <v>77</v>
      </c>
      <c r="O246" s="92" t="b">
        <v>1</v>
      </c>
      <c r="P246" s="92"/>
      <c r="Q246" s="92" t="s">
        <v>79</v>
      </c>
      <c r="R246" s="92" t="s">
        <v>80</v>
      </c>
      <c r="S246" s="92" t="b">
        <v>0</v>
      </c>
      <c r="T246" s="100">
        <v>1</v>
      </c>
      <c r="U246" s="100">
        <v>3.6842998265425751E+18</v>
      </c>
      <c r="V246" s="100"/>
    </row>
    <row r="247" spans="4:22" ht="15" customHeight="1">
      <c r="D247" s="98" t="b">
        <v>0</v>
      </c>
      <c r="E247" s="93">
        <v>1</v>
      </c>
      <c r="F247" s="91">
        <v>3</v>
      </c>
      <c r="G247" s="91" t="s">
        <v>74</v>
      </c>
      <c r="H247" s="92">
        <v>27</v>
      </c>
      <c r="I247" s="92">
        <v>0</v>
      </c>
      <c r="J247" s="92">
        <v>0</v>
      </c>
      <c r="K247" s="92">
        <v>7.7957999999999998</v>
      </c>
      <c r="L247" s="92" t="s">
        <v>75</v>
      </c>
      <c r="M247" s="92" t="s">
        <v>76</v>
      </c>
      <c r="N247" s="92" t="s">
        <v>77</v>
      </c>
      <c r="O247" s="92" t="b">
        <v>1</v>
      </c>
      <c r="P247" s="92"/>
      <c r="Q247" s="92" t="s">
        <v>79</v>
      </c>
      <c r="R247" s="92" t="s">
        <v>85</v>
      </c>
      <c r="S247" s="92" t="b">
        <v>1</v>
      </c>
      <c r="T247" s="100">
        <v>1</v>
      </c>
      <c r="U247" s="100">
        <v>6.3724354820359762E+18</v>
      </c>
      <c r="V247" s="100"/>
    </row>
    <row r="248" spans="4:22" ht="15" customHeight="1">
      <c r="D248" s="98" t="b">
        <v>0</v>
      </c>
      <c r="E248" s="93">
        <v>0</v>
      </c>
      <c r="F248" s="91">
        <v>3</v>
      </c>
      <c r="G248" s="91" t="s">
        <v>81</v>
      </c>
      <c r="H248" s="92">
        <v>9</v>
      </c>
      <c r="I248" s="92">
        <v>2</v>
      </c>
      <c r="J248" s="92">
        <v>2</v>
      </c>
      <c r="K248" s="92">
        <v>34.375</v>
      </c>
      <c r="L248" s="92" t="s">
        <v>75</v>
      </c>
      <c r="M248" s="92" t="s">
        <v>76</v>
      </c>
      <c r="N248" s="92" t="s">
        <v>89</v>
      </c>
      <c r="O248" s="92" t="b">
        <v>0</v>
      </c>
      <c r="P248" s="92"/>
      <c r="Q248" s="92" t="s">
        <v>79</v>
      </c>
      <c r="R248" s="92" t="s">
        <v>80</v>
      </c>
      <c r="S248" s="92" t="b">
        <v>0</v>
      </c>
      <c r="T248" s="100">
        <v>1</v>
      </c>
      <c r="U248" s="100">
        <v>1.4834561152288399E+19</v>
      </c>
      <c r="V248" s="100"/>
    </row>
    <row r="249" spans="4:22" ht="15" customHeight="1">
      <c r="D249" s="98" t="b">
        <v>0</v>
      </c>
      <c r="E249" s="93">
        <v>0</v>
      </c>
      <c r="F249" s="91">
        <v>2</v>
      </c>
      <c r="G249" s="91" t="s">
        <v>74</v>
      </c>
      <c r="H249" s="92">
        <v>42</v>
      </c>
      <c r="I249" s="92">
        <v>0</v>
      </c>
      <c r="J249" s="92">
        <v>0</v>
      </c>
      <c r="K249" s="92">
        <v>13</v>
      </c>
      <c r="L249" s="92" t="s">
        <v>75</v>
      </c>
      <c r="M249" s="92" t="s">
        <v>90</v>
      </c>
      <c r="N249" s="92" t="s">
        <v>77</v>
      </c>
      <c r="O249" s="92" t="b">
        <v>1</v>
      </c>
      <c r="P249" s="92"/>
      <c r="Q249" s="92" t="s">
        <v>79</v>
      </c>
      <c r="R249" s="92" t="s">
        <v>80</v>
      </c>
      <c r="S249" s="92" t="b">
        <v>1</v>
      </c>
      <c r="T249" s="100">
        <v>1</v>
      </c>
      <c r="U249" s="100">
        <v>1.7508988073734148E+19</v>
      </c>
      <c r="V249" s="100"/>
    </row>
    <row r="250" spans="4:22" ht="15" customHeight="1">
      <c r="D250" s="98" t="b">
        <v>0</v>
      </c>
      <c r="E250" s="93">
        <v>0</v>
      </c>
      <c r="F250" s="91">
        <v>2</v>
      </c>
      <c r="G250" s="91" t="s">
        <v>74</v>
      </c>
      <c r="H250" s="92">
        <v>51</v>
      </c>
      <c r="I250" s="92">
        <v>0</v>
      </c>
      <c r="J250" s="92">
        <v>0</v>
      </c>
      <c r="K250" s="92">
        <v>12.525</v>
      </c>
      <c r="L250" s="92" t="s">
        <v>75</v>
      </c>
      <c r="M250" s="92" t="s">
        <v>90</v>
      </c>
      <c r="N250" s="92" t="s">
        <v>77</v>
      </c>
      <c r="O250" s="92" t="b">
        <v>1</v>
      </c>
      <c r="P250" s="92"/>
      <c r="Q250" s="92" t="s">
        <v>79</v>
      </c>
      <c r="R250" s="92" t="s">
        <v>80</v>
      </c>
      <c r="S250" s="92" t="b">
        <v>1</v>
      </c>
      <c r="T250" s="100">
        <v>1</v>
      </c>
      <c r="U250" s="100">
        <v>1.4378286252974688E+19</v>
      </c>
      <c r="V250" s="100"/>
    </row>
    <row r="251" spans="4:22" ht="15" customHeight="1">
      <c r="D251" s="98" t="b">
        <v>0</v>
      </c>
      <c r="E251" s="93">
        <v>1</v>
      </c>
      <c r="F251" s="91">
        <v>1</v>
      </c>
      <c r="G251" s="91" t="s">
        <v>81</v>
      </c>
      <c r="H251" s="92">
        <v>22</v>
      </c>
      <c r="I251" s="92">
        <v>1</v>
      </c>
      <c r="J251" s="92">
        <v>0</v>
      </c>
      <c r="K251" s="92">
        <v>66.599999999999994</v>
      </c>
      <c r="L251" s="92" t="s">
        <v>75</v>
      </c>
      <c r="M251" s="92" t="s">
        <v>82</v>
      </c>
      <c r="N251" s="92" t="s">
        <v>83</v>
      </c>
      <c r="O251" s="92" t="b">
        <v>0</v>
      </c>
      <c r="P251" s="92" t="s">
        <v>78</v>
      </c>
      <c r="Q251" s="92" t="s">
        <v>79</v>
      </c>
      <c r="R251" s="92" t="s">
        <v>85</v>
      </c>
      <c r="S251" s="92" t="b">
        <v>0</v>
      </c>
      <c r="T251" s="100">
        <v>0</v>
      </c>
      <c r="U251" s="100">
        <v>1.7578742053245252E+19</v>
      </c>
      <c r="V251" s="100"/>
    </row>
    <row r="252" spans="4:22" ht="15" customHeight="1">
      <c r="D252" s="98" t="b">
        <v>0</v>
      </c>
      <c r="E252" s="93">
        <v>0</v>
      </c>
      <c r="F252" s="91">
        <v>3</v>
      </c>
      <c r="G252" s="91" t="s">
        <v>74</v>
      </c>
      <c r="H252" s="92"/>
      <c r="I252" s="92">
        <v>0</v>
      </c>
      <c r="J252" s="92">
        <v>0</v>
      </c>
      <c r="K252" s="92">
        <v>7.3125</v>
      </c>
      <c r="L252" s="92" t="s">
        <v>75</v>
      </c>
      <c r="M252" s="92" t="s">
        <v>76</v>
      </c>
      <c r="N252" s="92" t="s">
        <v>77</v>
      </c>
      <c r="O252" s="92" t="b">
        <v>1</v>
      </c>
      <c r="P252" s="92"/>
      <c r="Q252" s="92" t="s">
        <v>79</v>
      </c>
      <c r="R252" s="92" t="s">
        <v>80</v>
      </c>
      <c r="S252" s="92" t="b">
        <v>1</v>
      </c>
      <c r="T252" s="100">
        <v>1</v>
      </c>
      <c r="U252" s="100">
        <v>8.0395440743526646E+18</v>
      </c>
      <c r="V252" s="100"/>
    </row>
    <row r="253" spans="4:22" ht="15" customHeight="1">
      <c r="D253" s="98" t="b">
        <v>0</v>
      </c>
      <c r="E253" s="93">
        <v>0</v>
      </c>
      <c r="F253" s="91">
        <v>1</v>
      </c>
      <c r="G253" s="91" t="s">
        <v>74</v>
      </c>
      <c r="H253" s="92">
        <v>51</v>
      </c>
      <c r="I253" s="92">
        <v>0</v>
      </c>
      <c r="J253" s="92">
        <v>1</v>
      </c>
      <c r="K253" s="92">
        <v>61.379199999999997</v>
      </c>
      <c r="L253" s="92" t="s">
        <v>78</v>
      </c>
      <c r="M253" s="92" t="s">
        <v>82</v>
      </c>
      <c r="N253" s="92" t="s">
        <v>77</v>
      </c>
      <c r="O253" s="92" t="b">
        <v>1</v>
      </c>
      <c r="P253" s="92"/>
      <c r="Q253" s="92" t="s">
        <v>84</v>
      </c>
      <c r="R253" s="92" t="s">
        <v>80</v>
      </c>
      <c r="S253" s="92" t="b">
        <v>0</v>
      </c>
      <c r="T253" s="100">
        <v>1</v>
      </c>
      <c r="U253" s="100">
        <v>3.338037523340139E+18</v>
      </c>
      <c r="V253" s="100"/>
    </row>
    <row r="254" spans="4:22" ht="15" customHeight="1">
      <c r="D254" s="98" t="b">
        <v>0</v>
      </c>
      <c r="E254" s="93">
        <v>1</v>
      </c>
      <c r="F254" s="91">
        <v>3</v>
      </c>
      <c r="G254" s="91" t="s">
        <v>81</v>
      </c>
      <c r="H254" s="92">
        <v>16</v>
      </c>
      <c r="I254" s="92">
        <v>0</v>
      </c>
      <c r="J254" s="92">
        <v>0</v>
      </c>
      <c r="K254" s="92">
        <v>7.7332999999999998</v>
      </c>
      <c r="L254" s="92" t="s">
        <v>86</v>
      </c>
      <c r="M254" s="92" t="s">
        <v>76</v>
      </c>
      <c r="N254" s="92" t="s">
        <v>83</v>
      </c>
      <c r="O254" s="92" t="b">
        <v>0</v>
      </c>
      <c r="P254" s="92"/>
      <c r="Q254" s="92" t="s">
        <v>87</v>
      </c>
      <c r="R254" s="92" t="s">
        <v>85</v>
      </c>
      <c r="S254" s="92" t="b">
        <v>1</v>
      </c>
      <c r="T254" s="100">
        <v>1</v>
      </c>
      <c r="U254" s="100">
        <v>1.5906304581710354E+19</v>
      </c>
      <c r="V254" s="100"/>
    </row>
    <row r="255" spans="4:22" ht="15" customHeight="1">
      <c r="D255" s="98" t="b">
        <v>0</v>
      </c>
      <c r="E255" s="93">
        <v>0</v>
      </c>
      <c r="F255" s="91">
        <v>3</v>
      </c>
      <c r="G255" s="91" t="s">
        <v>74</v>
      </c>
      <c r="H255" s="92">
        <v>30</v>
      </c>
      <c r="I255" s="92">
        <v>0</v>
      </c>
      <c r="J255" s="92">
        <v>0</v>
      </c>
      <c r="K255" s="92">
        <v>8.0500000000000007</v>
      </c>
      <c r="L255" s="92" t="s">
        <v>75</v>
      </c>
      <c r="M255" s="92" t="s">
        <v>76</v>
      </c>
      <c r="N255" s="92" t="s">
        <v>77</v>
      </c>
      <c r="O255" s="92" t="b">
        <v>1</v>
      </c>
      <c r="P255" s="92"/>
      <c r="Q255" s="92" t="s">
        <v>79</v>
      </c>
      <c r="R255" s="92" t="s">
        <v>80</v>
      </c>
      <c r="S255" s="92" t="b">
        <v>1</v>
      </c>
      <c r="T255" s="100">
        <v>1</v>
      </c>
      <c r="U255" s="100">
        <v>1.2242102453402954E+19</v>
      </c>
      <c r="V255" s="100"/>
    </row>
    <row r="256" spans="4:22" ht="15" customHeight="1">
      <c r="D256" s="98" t="b">
        <v>0</v>
      </c>
      <c r="E256" s="93">
        <v>0</v>
      </c>
      <c r="F256" s="91">
        <v>3</v>
      </c>
      <c r="G256" s="91" t="s">
        <v>74</v>
      </c>
      <c r="H256" s="92"/>
      <c r="I256" s="92">
        <v>0</v>
      </c>
      <c r="J256" s="92">
        <v>0</v>
      </c>
      <c r="K256" s="92">
        <v>8.6624999999999996</v>
      </c>
      <c r="L256" s="92" t="s">
        <v>75</v>
      </c>
      <c r="M256" s="92" t="s">
        <v>76</v>
      </c>
      <c r="N256" s="92" t="s">
        <v>77</v>
      </c>
      <c r="O256" s="92" t="b">
        <v>1</v>
      </c>
      <c r="P256" s="92"/>
      <c r="Q256" s="92" t="s">
        <v>79</v>
      </c>
      <c r="R256" s="92" t="s">
        <v>80</v>
      </c>
      <c r="S256" s="92" t="b">
        <v>1</v>
      </c>
      <c r="T256" s="100">
        <v>1</v>
      </c>
      <c r="U256" s="100">
        <v>2.8093279323394575E+18</v>
      </c>
      <c r="V256" s="100"/>
    </row>
    <row r="257" spans="4:22" ht="15" customHeight="1">
      <c r="D257" s="98" t="b">
        <v>0</v>
      </c>
      <c r="E257" s="93">
        <v>0</v>
      </c>
      <c r="F257" s="91">
        <v>3</v>
      </c>
      <c r="G257" s="91" t="s">
        <v>74</v>
      </c>
      <c r="H257" s="92"/>
      <c r="I257" s="92">
        <v>8</v>
      </c>
      <c r="J257" s="92">
        <v>2</v>
      </c>
      <c r="K257" s="92">
        <v>69.55</v>
      </c>
      <c r="L257" s="92" t="s">
        <v>75</v>
      </c>
      <c r="M257" s="92" t="s">
        <v>76</v>
      </c>
      <c r="N257" s="92" t="s">
        <v>77</v>
      </c>
      <c r="O257" s="92" t="b">
        <v>1</v>
      </c>
      <c r="P257" s="92"/>
      <c r="Q257" s="92" t="s">
        <v>79</v>
      </c>
      <c r="R257" s="92" t="s">
        <v>80</v>
      </c>
      <c r="S257" s="92" t="b">
        <v>0</v>
      </c>
      <c r="T257" s="100">
        <v>1</v>
      </c>
      <c r="U257" s="100">
        <v>1.4267608982933174E+18</v>
      </c>
      <c r="V257" s="100"/>
    </row>
    <row r="258" spans="4:22" ht="15" customHeight="1">
      <c r="D258" s="98" t="b">
        <v>0</v>
      </c>
      <c r="E258" s="93">
        <v>0</v>
      </c>
      <c r="F258" s="91">
        <v>3</v>
      </c>
      <c r="G258" s="91" t="s">
        <v>74</v>
      </c>
      <c r="H258" s="92">
        <v>44</v>
      </c>
      <c r="I258" s="92">
        <v>0</v>
      </c>
      <c r="J258" s="92">
        <v>1</v>
      </c>
      <c r="K258" s="92">
        <v>16.100000000000001</v>
      </c>
      <c r="L258" s="92" t="s">
        <v>75</v>
      </c>
      <c r="M258" s="92" t="s">
        <v>76</v>
      </c>
      <c r="N258" s="92" t="s">
        <v>77</v>
      </c>
      <c r="O258" s="92" t="b">
        <v>1</v>
      </c>
      <c r="P258" s="92"/>
      <c r="Q258" s="92" t="s">
        <v>79</v>
      </c>
      <c r="R258" s="92" t="s">
        <v>80</v>
      </c>
      <c r="S258" s="92" t="b">
        <v>0</v>
      </c>
      <c r="T258" s="100">
        <v>1</v>
      </c>
      <c r="U258" s="100">
        <v>8.582855900934486E+18</v>
      </c>
      <c r="V258" s="100"/>
    </row>
    <row r="259" spans="4:22" ht="15" customHeight="1">
      <c r="D259" s="98" t="b">
        <v>0</v>
      </c>
      <c r="E259" s="93">
        <v>1</v>
      </c>
      <c r="F259" s="91">
        <v>2</v>
      </c>
      <c r="G259" s="91" t="s">
        <v>81</v>
      </c>
      <c r="H259" s="92">
        <v>40</v>
      </c>
      <c r="I259" s="92">
        <v>0</v>
      </c>
      <c r="J259" s="92">
        <v>0</v>
      </c>
      <c r="K259" s="92">
        <v>15.75</v>
      </c>
      <c r="L259" s="92" t="s">
        <v>75</v>
      </c>
      <c r="M259" s="92" t="s">
        <v>90</v>
      </c>
      <c r="N259" s="92" t="s">
        <v>83</v>
      </c>
      <c r="O259" s="92" t="b">
        <v>0</v>
      </c>
      <c r="P259" s="92"/>
      <c r="Q259" s="92" t="s">
        <v>79</v>
      </c>
      <c r="R259" s="92" t="s">
        <v>85</v>
      </c>
      <c r="S259" s="92" t="b">
        <v>1</v>
      </c>
      <c r="T259" s="100">
        <v>1</v>
      </c>
      <c r="U259" s="100">
        <v>1.5071492887041274E+19</v>
      </c>
      <c r="V259" s="100"/>
    </row>
    <row r="260" spans="4:22" ht="15" customHeight="1">
      <c r="D260" s="98" t="b">
        <v>0</v>
      </c>
      <c r="E260" s="93">
        <v>0</v>
      </c>
      <c r="F260" s="91">
        <v>3</v>
      </c>
      <c r="G260" s="91" t="s">
        <v>74</v>
      </c>
      <c r="H260" s="92">
        <v>26</v>
      </c>
      <c r="I260" s="92">
        <v>0</v>
      </c>
      <c r="J260" s="92">
        <v>0</v>
      </c>
      <c r="K260" s="92">
        <v>7.7750000000000004</v>
      </c>
      <c r="L260" s="92" t="s">
        <v>75</v>
      </c>
      <c r="M260" s="92" t="s">
        <v>76</v>
      </c>
      <c r="N260" s="92" t="s">
        <v>77</v>
      </c>
      <c r="O260" s="92" t="b">
        <v>1</v>
      </c>
      <c r="P260" s="92"/>
      <c r="Q260" s="92" t="s">
        <v>79</v>
      </c>
      <c r="R260" s="92" t="s">
        <v>80</v>
      </c>
      <c r="S260" s="92" t="b">
        <v>1</v>
      </c>
      <c r="T260" s="100">
        <v>1</v>
      </c>
      <c r="U260" s="100">
        <v>9.896798398649417E+17</v>
      </c>
      <c r="V260" s="100"/>
    </row>
    <row r="261" spans="4:22" ht="15" customHeight="1">
      <c r="D261" s="98" t="b">
        <v>0</v>
      </c>
      <c r="E261" s="93">
        <v>0</v>
      </c>
      <c r="F261" s="91">
        <v>3</v>
      </c>
      <c r="G261" s="91" t="s">
        <v>74</v>
      </c>
      <c r="H261" s="92">
        <v>17</v>
      </c>
      <c r="I261" s="92">
        <v>0</v>
      </c>
      <c r="J261" s="92">
        <v>0</v>
      </c>
      <c r="K261" s="92">
        <v>8.6624999999999996</v>
      </c>
      <c r="L261" s="92" t="s">
        <v>75</v>
      </c>
      <c r="M261" s="92" t="s">
        <v>76</v>
      </c>
      <c r="N261" s="92" t="s">
        <v>77</v>
      </c>
      <c r="O261" s="92" t="b">
        <v>1</v>
      </c>
      <c r="P261" s="92"/>
      <c r="Q261" s="92" t="s">
        <v>79</v>
      </c>
      <c r="R261" s="92" t="s">
        <v>80</v>
      </c>
      <c r="S261" s="92" t="b">
        <v>1</v>
      </c>
      <c r="T261" s="100">
        <v>1</v>
      </c>
      <c r="U261" s="100">
        <v>3.5012485002319247E+18</v>
      </c>
      <c r="V261" s="100"/>
    </row>
    <row r="262" spans="4:22" ht="15" customHeight="1">
      <c r="D262" s="98" t="b">
        <v>0</v>
      </c>
      <c r="E262" s="93">
        <v>0</v>
      </c>
      <c r="F262" s="91">
        <v>3</v>
      </c>
      <c r="G262" s="91" t="s">
        <v>74</v>
      </c>
      <c r="H262" s="92">
        <v>1</v>
      </c>
      <c r="I262" s="92">
        <v>4</v>
      </c>
      <c r="J262" s="92">
        <v>1</v>
      </c>
      <c r="K262" s="92">
        <v>39.6875</v>
      </c>
      <c r="L262" s="92" t="s">
        <v>75</v>
      </c>
      <c r="M262" s="92" t="s">
        <v>76</v>
      </c>
      <c r="N262" s="92" t="s">
        <v>89</v>
      </c>
      <c r="O262" s="92" t="b">
        <v>0</v>
      </c>
      <c r="P262" s="92"/>
      <c r="Q262" s="92" t="s">
        <v>79</v>
      </c>
      <c r="R262" s="92" t="s">
        <v>80</v>
      </c>
      <c r="S262" s="92" t="b">
        <v>0</v>
      </c>
      <c r="T262" s="100">
        <v>1</v>
      </c>
      <c r="U262" s="100">
        <v>1.3818788653206841E+19</v>
      </c>
      <c r="V262" s="100"/>
    </row>
    <row r="263" spans="4:22" ht="15" customHeight="1">
      <c r="D263" s="98" t="b">
        <v>0</v>
      </c>
      <c r="E263" s="93">
        <v>1</v>
      </c>
      <c r="F263" s="91">
        <v>3</v>
      </c>
      <c r="G263" s="91" t="s">
        <v>74</v>
      </c>
      <c r="H263" s="92">
        <v>9</v>
      </c>
      <c r="I263" s="92">
        <v>0</v>
      </c>
      <c r="J263" s="92">
        <v>2</v>
      </c>
      <c r="K263" s="92">
        <v>20.524999999999999</v>
      </c>
      <c r="L263" s="92" t="s">
        <v>75</v>
      </c>
      <c r="M263" s="92" t="s">
        <v>76</v>
      </c>
      <c r="N263" s="92" t="s">
        <v>89</v>
      </c>
      <c r="O263" s="92" t="b">
        <v>0</v>
      </c>
      <c r="P263" s="92"/>
      <c r="Q263" s="92" t="s">
        <v>79</v>
      </c>
      <c r="R263" s="92" t="s">
        <v>85</v>
      </c>
      <c r="S263" s="92" t="b">
        <v>0</v>
      </c>
      <c r="T263" s="100">
        <v>1</v>
      </c>
      <c r="U263" s="100">
        <v>7.3529826232312556E+18</v>
      </c>
      <c r="V263" s="100"/>
    </row>
    <row r="264" spans="4:22" ht="15" customHeight="1">
      <c r="D264" s="98" t="b">
        <v>0</v>
      </c>
      <c r="E264" s="93">
        <v>1</v>
      </c>
      <c r="F264" s="91">
        <v>1</v>
      </c>
      <c r="G264" s="91" t="s">
        <v>81</v>
      </c>
      <c r="H264" s="92"/>
      <c r="I264" s="92">
        <v>0</v>
      </c>
      <c r="J264" s="92">
        <v>1</v>
      </c>
      <c r="K264" s="92">
        <v>55</v>
      </c>
      <c r="L264" s="92" t="s">
        <v>75</v>
      </c>
      <c r="M264" s="92" t="s">
        <v>82</v>
      </c>
      <c r="N264" s="92" t="s">
        <v>83</v>
      </c>
      <c r="O264" s="92" t="b">
        <v>0</v>
      </c>
      <c r="P264" s="92" t="s">
        <v>88</v>
      </c>
      <c r="Q264" s="92" t="s">
        <v>79</v>
      </c>
      <c r="R264" s="92" t="s">
        <v>85</v>
      </c>
      <c r="S264" s="92" t="b">
        <v>0</v>
      </c>
      <c r="T264" s="100">
        <v>1</v>
      </c>
      <c r="U264" s="100">
        <v>1.267854266124833E+19</v>
      </c>
      <c r="V264" s="100"/>
    </row>
    <row r="265" spans="4:22" ht="15" customHeight="1">
      <c r="D265" s="98" t="b">
        <v>0</v>
      </c>
      <c r="E265" s="93">
        <v>0</v>
      </c>
      <c r="F265" s="91">
        <v>3</v>
      </c>
      <c r="G265" s="91" t="s">
        <v>81</v>
      </c>
      <c r="H265" s="92">
        <v>45</v>
      </c>
      <c r="I265" s="92">
        <v>1</v>
      </c>
      <c r="J265" s="92">
        <v>4</v>
      </c>
      <c r="K265" s="92">
        <v>27.9</v>
      </c>
      <c r="L265" s="92" t="s">
        <v>75</v>
      </c>
      <c r="M265" s="92" t="s">
        <v>76</v>
      </c>
      <c r="N265" s="92" t="s">
        <v>83</v>
      </c>
      <c r="O265" s="92" t="b">
        <v>0</v>
      </c>
      <c r="P265" s="92"/>
      <c r="Q265" s="92" t="s">
        <v>79</v>
      </c>
      <c r="R265" s="92" t="s">
        <v>80</v>
      </c>
      <c r="S265" s="92" t="b">
        <v>0</v>
      </c>
      <c r="T265" s="100">
        <v>1</v>
      </c>
      <c r="U265" s="100">
        <v>9.3350034761538621E+18</v>
      </c>
      <c r="V265" s="100"/>
    </row>
    <row r="266" spans="4:22" ht="15" customHeight="1">
      <c r="D266" s="98" t="b">
        <v>0</v>
      </c>
      <c r="E266" s="93">
        <v>0</v>
      </c>
      <c r="F266" s="91">
        <v>1</v>
      </c>
      <c r="G266" s="91" t="s">
        <v>74</v>
      </c>
      <c r="H266" s="92"/>
      <c r="I266" s="92">
        <v>0</v>
      </c>
      <c r="J266" s="92">
        <v>0</v>
      </c>
      <c r="K266" s="92">
        <v>25.925000000000001</v>
      </c>
      <c r="L266" s="92" t="s">
        <v>75</v>
      </c>
      <c r="M266" s="92" t="s">
        <v>82</v>
      </c>
      <c r="N266" s="92" t="s">
        <v>77</v>
      </c>
      <c r="O266" s="92" t="b">
        <v>1</v>
      </c>
      <c r="P266" s="92"/>
      <c r="Q266" s="92" t="s">
        <v>79</v>
      </c>
      <c r="R266" s="92" t="s">
        <v>80</v>
      </c>
      <c r="S266" s="92" t="b">
        <v>1</v>
      </c>
      <c r="T266" s="100">
        <v>1</v>
      </c>
      <c r="U266" s="100">
        <v>1.6937610474092032E+19</v>
      </c>
      <c r="V266" s="100"/>
    </row>
    <row r="267" spans="4:22" ht="15" customHeight="1">
      <c r="D267" s="98" t="b">
        <v>0</v>
      </c>
      <c r="E267" s="93">
        <v>0</v>
      </c>
      <c r="F267" s="91">
        <v>3</v>
      </c>
      <c r="G267" s="91" t="s">
        <v>74</v>
      </c>
      <c r="H267" s="92">
        <v>28</v>
      </c>
      <c r="I267" s="92">
        <v>0</v>
      </c>
      <c r="J267" s="92">
        <v>0</v>
      </c>
      <c r="K267" s="92">
        <v>56.495800000000003</v>
      </c>
      <c r="L267" s="92" t="s">
        <v>75</v>
      </c>
      <c r="M267" s="92" t="s">
        <v>76</v>
      </c>
      <c r="N267" s="92" t="s">
        <v>77</v>
      </c>
      <c r="O267" s="92" t="b">
        <v>1</v>
      </c>
      <c r="P267" s="92"/>
      <c r="Q267" s="92" t="s">
        <v>79</v>
      </c>
      <c r="R267" s="92" t="s">
        <v>80</v>
      </c>
      <c r="S267" s="92" t="b">
        <v>1</v>
      </c>
      <c r="T267" s="100">
        <v>1</v>
      </c>
      <c r="U267" s="100">
        <v>2.4232281286720205E+18</v>
      </c>
      <c r="V267" s="100"/>
    </row>
    <row r="268" spans="4:22" ht="15" customHeight="1">
      <c r="D268" s="98" t="b">
        <v>0</v>
      </c>
      <c r="E268" s="93">
        <v>0</v>
      </c>
      <c r="F268" s="91">
        <v>1</v>
      </c>
      <c r="G268" s="91" t="s">
        <v>74</v>
      </c>
      <c r="H268" s="92">
        <v>61</v>
      </c>
      <c r="I268" s="92">
        <v>0</v>
      </c>
      <c r="J268" s="92">
        <v>0</v>
      </c>
      <c r="K268" s="92">
        <v>33.5</v>
      </c>
      <c r="L268" s="92" t="s">
        <v>75</v>
      </c>
      <c r="M268" s="92" t="s">
        <v>82</v>
      </c>
      <c r="N268" s="92" t="s">
        <v>77</v>
      </c>
      <c r="O268" s="92" t="b">
        <v>1</v>
      </c>
      <c r="P268" s="92" t="s">
        <v>94</v>
      </c>
      <c r="Q268" s="92" t="s">
        <v>79</v>
      </c>
      <c r="R268" s="92" t="s">
        <v>80</v>
      </c>
      <c r="S268" s="92" t="b">
        <v>1</v>
      </c>
      <c r="T268" s="100">
        <v>0</v>
      </c>
      <c r="U268" s="100">
        <v>4.9547460378035671E+18</v>
      </c>
      <c r="V268" s="100"/>
    </row>
    <row r="269" spans="4:22" ht="15" customHeight="1">
      <c r="D269" s="98" t="b">
        <v>0</v>
      </c>
      <c r="E269" s="93">
        <v>0</v>
      </c>
      <c r="F269" s="91">
        <v>3</v>
      </c>
      <c r="G269" s="91" t="s">
        <v>74</v>
      </c>
      <c r="H269" s="92">
        <v>4</v>
      </c>
      <c r="I269" s="92">
        <v>4</v>
      </c>
      <c r="J269" s="92">
        <v>1</v>
      </c>
      <c r="K269" s="92">
        <v>29.125</v>
      </c>
      <c r="L269" s="92" t="s">
        <v>86</v>
      </c>
      <c r="M269" s="92" t="s">
        <v>76</v>
      </c>
      <c r="N269" s="92" t="s">
        <v>89</v>
      </c>
      <c r="O269" s="92" t="b">
        <v>0</v>
      </c>
      <c r="P269" s="92"/>
      <c r="Q269" s="92" t="s">
        <v>87</v>
      </c>
      <c r="R269" s="92" t="s">
        <v>80</v>
      </c>
      <c r="S269" s="92" t="b">
        <v>0</v>
      </c>
      <c r="T269" s="100">
        <v>1</v>
      </c>
      <c r="U269" s="100">
        <v>1.5944445424931508E+19</v>
      </c>
      <c r="V269" s="100"/>
    </row>
    <row r="270" spans="4:22" ht="15" customHeight="1">
      <c r="D270" s="98" t="b">
        <v>0</v>
      </c>
      <c r="E270" s="93">
        <v>1</v>
      </c>
      <c r="F270" s="91">
        <v>3</v>
      </c>
      <c r="G270" s="91" t="s">
        <v>81</v>
      </c>
      <c r="H270" s="92">
        <v>1</v>
      </c>
      <c r="I270" s="92">
        <v>1</v>
      </c>
      <c r="J270" s="92">
        <v>1</v>
      </c>
      <c r="K270" s="92">
        <v>11.1333</v>
      </c>
      <c r="L270" s="92" t="s">
        <v>75</v>
      </c>
      <c r="M270" s="92" t="s">
        <v>76</v>
      </c>
      <c r="N270" s="92" t="s">
        <v>89</v>
      </c>
      <c r="O270" s="92" t="b">
        <v>0</v>
      </c>
      <c r="P270" s="92"/>
      <c r="Q270" s="92" t="s">
        <v>79</v>
      </c>
      <c r="R270" s="92" t="s">
        <v>85</v>
      </c>
      <c r="S270" s="92" t="b">
        <v>0</v>
      </c>
      <c r="T270" s="100">
        <v>1</v>
      </c>
      <c r="U270" s="100">
        <v>1.7336976613186787E+19</v>
      </c>
      <c r="V270" s="100"/>
    </row>
    <row r="271" spans="4:22" ht="15" customHeight="1">
      <c r="D271" s="98" t="b">
        <v>0</v>
      </c>
      <c r="E271" s="93">
        <v>0</v>
      </c>
      <c r="F271" s="91">
        <v>3</v>
      </c>
      <c r="G271" s="91" t="s">
        <v>74</v>
      </c>
      <c r="H271" s="92">
        <v>21</v>
      </c>
      <c r="I271" s="92">
        <v>0</v>
      </c>
      <c r="J271" s="92">
        <v>0</v>
      </c>
      <c r="K271" s="92">
        <v>7.9249999999999998</v>
      </c>
      <c r="L271" s="92" t="s">
        <v>75</v>
      </c>
      <c r="M271" s="92" t="s">
        <v>76</v>
      </c>
      <c r="N271" s="92" t="s">
        <v>77</v>
      </c>
      <c r="O271" s="92" t="b">
        <v>1</v>
      </c>
      <c r="P271" s="92"/>
      <c r="Q271" s="92" t="s">
        <v>79</v>
      </c>
      <c r="R271" s="92" t="s">
        <v>80</v>
      </c>
      <c r="S271" s="92" t="b">
        <v>1</v>
      </c>
      <c r="T271" s="100">
        <v>1</v>
      </c>
      <c r="U271" s="100">
        <v>4.8170586333350257E+18</v>
      </c>
      <c r="V271" s="100"/>
    </row>
    <row r="272" spans="4:22" ht="15" customHeight="1">
      <c r="D272" s="98" t="b">
        <v>0</v>
      </c>
      <c r="E272" s="93">
        <v>0</v>
      </c>
      <c r="F272" s="91">
        <v>1</v>
      </c>
      <c r="G272" s="91" t="s">
        <v>74</v>
      </c>
      <c r="H272" s="92">
        <v>56</v>
      </c>
      <c r="I272" s="92">
        <v>0</v>
      </c>
      <c r="J272" s="92">
        <v>0</v>
      </c>
      <c r="K272" s="92">
        <v>30.695799999999998</v>
      </c>
      <c r="L272" s="92" t="s">
        <v>78</v>
      </c>
      <c r="M272" s="92" t="s">
        <v>82</v>
      </c>
      <c r="N272" s="92" t="s">
        <v>77</v>
      </c>
      <c r="O272" s="92" t="b">
        <v>1</v>
      </c>
      <c r="P272" s="92" t="s">
        <v>93</v>
      </c>
      <c r="Q272" s="92" t="s">
        <v>84</v>
      </c>
      <c r="R272" s="92" t="s">
        <v>80</v>
      </c>
      <c r="S272" s="92" t="b">
        <v>1</v>
      </c>
      <c r="T272" s="100">
        <v>0</v>
      </c>
      <c r="U272" s="100">
        <v>6.3667225290296627E+18</v>
      </c>
      <c r="V272" s="100"/>
    </row>
    <row r="273" spans="4:22" ht="15" customHeight="1">
      <c r="D273" s="98" t="b">
        <v>0</v>
      </c>
      <c r="E273" s="93">
        <v>0</v>
      </c>
      <c r="F273" s="91">
        <v>3</v>
      </c>
      <c r="G273" s="91" t="s">
        <v>74</v>
      </c>
      <c r="H273" s="92">
        <v>18</v>
      </c>
      <c r="I273" s="92">
        <v>1</v>
      </c>
      <c r="J273" s="92">
        <v>1</v>
      </c>
      <c r="K273" s="92">
        <v>7.8541999999999996</v>
      </c>
      <c r="L273" s="92" t="s">
        <v>75</v>
      </c>
      <c r="M273" s="92" t="s">
        <v>76</v>
      </c>
      <c r="N273" s="92" t="s">
        <v>77</v>
      </c>
      <c r="O273" s="92" t="b">
        <v>1</v>
      </c>
      <c r="P273" s="92"/>
      <c r="Q273" s="92" t="s">
        <v>79</v>
      </c>
      <c r="R273" s="92" t="s">
        <v>80</v>
      </c>
      <c r="S273" s="92" t="b">
        <v>0</v>
      </c>
      <c r="T273" s="100">
        <v>1</v>
      </c>
      <c r="U273" s="100">
        <v>4.9271010718895268E+18</v>
      </c>
      <c r="V273" s="100"/>
    </row>
    <row r="274" spans="4:22" ht="15" customHeight="1">
      <c r="D274" s="98" t="b">
        <v>0</v>
      </c>
      <c r="E274" s="93">
        <v>0</v>
      </c>
      <c r="F274" s="91">
        <v>3</v>
      </c>
      <c r="G274" s="91" t="s">
        <v>74</v>
      </c>
      <c r="H274" s="92"/>
      <c r="I274" s="92">
        <v>3</v>
      </c>
      <c r="J274" s="92">
        <v>1</v>
      </c>
      <c r="K274" s="92">
        <v>25.466699999999999</v>
      </c>
      <c r="L274" s="92" t="s">
        <v>75</v>
      </c>
      <c r="M274" s="92" t="s">
        <v>76</v>
      </c>
      <c r="N274" s="92" t="s">
        <v>77</v>
      </c>
      <c r="O274" s="92" t="b">
        <v>1</v>
      </c>
      <c r="P274" s="92"/>
      <c r="Q274" s="92" t="s">
        <v>79</v>
      </c>
      <c r="R274" s="92" t="s">
        <v>80</v>
      </c>
      <c r="S274" s="92" t="b">
        <v>0</v>
      </c>
      <c r="T274" s="100">
        <v>1</v>
      </c>
      <c r="U274" s="100">
        <v>1.0549833470269405E+19</v>
      </c>
      <c r="V274" s="100"/>
    </row>
    <row r="275" spans="4:22" ht="15" customHeight="1">
      <c r="D275" s="98" t="b">
        <v>0</v>
      </c>
      <c r="E275" s="93">
        <v>0</v>
      </c>
      <c r="F275" s="91">
        <v>1</v>
      </c>
      <c r="G275" s="91" t="s">
        <v>81</v>
      </c>
      <c r="H275" s="92">
        <v>50</v>
      </c>
      <c r="I275" s="92">
        <v>0</v>
      </c>
      <c r="J275" s="92">
        <v>0</v>
      </c>
      <c r="K275" s="92">
        <v>28.712499999999999</v>
      </c>
      <c r="L275" s="92" t="s">
        <v>78</v>
      </c>
      <c r="M275" s="92" t="s">
        <v>82</v>
      </c>
      <c r="N275" s="92" t="s">
        <v>83</v>
      </c>
      <c r="O275" s="92" t="b">
        <v>0</v>
      </c>
      <c r="P275" s="92" t="s">
        <v>78</v>
      </c>
      <c r="Q275" s="92" t="s">
        <v>84</v>
      </c>
      <c r="R275" s="92" t="s">
        <v>80</v>
      </c>
      <c r="S275" s="92" t="b">
        <v>1</v>
      </c>
      <c r="T275" s="100">
        <v>0</v>
      </c>
      <c r="U275" s="100">
        <v>5.728000673752873E+18</v>
      </c>
      <c r="V275" s="100"/>
    </row>
    <row r="276" spans="4:22" ht="15" customHeight="1">
      <c r="D276" s="98" t="b">
        <v>0</v>
      </c>
      <c r="E276" s="93">
        <v>0</v>
      </c>
      <c r="F276" s="91">
        <v>2</v>
      </c>
      <c r="G276" s="91" t="s">
        <v>74</v>
      </c>
      <c r="H276" s="92">
        <v>30</v>
      </c>
      <c r="I276" s="92">
        <v>0</v>
      </c>
      <c r="J276" s="92">
        <v>0</v>
      </c>
      <c r="K276" s="92">
        <v>13</v>
      </c>
      <c r="L276" s="92" t="s">
        <v>75</v>
      </c>
      <c r="M276" s="92" t="s">
        <v>90</v>
      </c>
      <c r="N276" s="92" t="s">
        <v>77</v>
      </c>
      <c r="O276" s="92" t="b">
        <v>1</v>
      </c>
      <c r="P276" s="92"/>
      <c r="Q276" s="92" t="s">
        <v>79</v>
      </c>
      <c r="R276" s="92" t="s">
        <v>80</v>
      </c>
      <c r="S276" s="92" t="b">
        <v>1</v>
      </c>
      <c r="T276" s="100">
        <v>1</v>
      </c>
      <c r="U276" s="100">
        <v>2.9145808561328507E+18</v>
      </c>
      <c r="V276" s="100"/>
    </row>
    <row r="277" spans="4:22" ht="15" customHeight="1">
      <c r="D277" s="98" t="b">
        <v>0</v>
      </c>
      <c r="E277" s="93">
        <v>0</v>
      </c>
      <c r="F277" s="91">
        <v>3</v>
      </c>
      <c r="G277" s="91" t="s">
        <v>74</v>
      </c>
      <c r="H277" s="92">
        <v>36</v>
      </c>
      <c r="I277" s="92">
        <v>0</v>
      </c>
      <c r="J277" s="92">
        <v>0</v>
      </c>
      <c r="K277" s="92">
        <v>0</v>
      </c>
      <c r="L277" s="92" t="s">
        <v>75</v>
      </c>
      <c r="M277" s="92" t="s">
        <v>76</v>
      </c>
      <c r="N277" s="92" t="s">
        <v>77</v>
      </c>
      <c r="O277" s="92" t="b">
        <v>1</v>
      </c>
      <c r="P277" s="92"/>
      <c r="Q277" s="92" t="s">
        <v>79</v>
      </c>
      <c r="R277" s="92" t="s">
        <v>80</v>
      </c>
      <c r="S277" s="92" t="b">
        <v>1</v>
      </c>
      <c r="T277" s="100">
        <v>1</v>
      </c>
      <c r="U277" s="100">
        <v>5.5407375617433098E+18</v>
      </c>
      <c r="V277" s="100"/>
    </row>
    <row r="278" spans="4:22" ht="15" customHeight="1">
      <c r="D278" s="98" t="b">
        <v>0</v>
      </c>
      <c r="E278" s="93">
        <v>0</v>
      </c>
      <c r="F278" s="91">
        <v>3</v>
      </c>
      <c r="G278" s="91" t="s">
        <v>81</v>
      </c>
      <c r="H278" s="92"/>
      <c r="I278" s="92">
        <v>8</v>
      </c>
      <c r="J278" s="92">
        <v>2</v>
      </c>
      <c r="K278" s="92">
        <v>69.55</v>
      </c>
      <c r="L278" s="92" t="s">
        <v>75</v>
      </c>
      <c r="M278" s="92" t="s">
        <v>76</v>
      </c>
      <c r="N278" s="92" t="s">
        <v>83</v>
      </c>
      <c r="O278" s="92" t="b">
        <v>0</v>
      </c>
      <c r="P278" s="92"/>
      <c r="Q278" s="92" t="s">
        <v>79</v>
      </c>
      <c r="R278" s="92" t="s">
        <v>80</v>
      </c>
      <c r="S278" s="92" t="b">
        <v>0</v>
      </c>
      <c r="T278" s="100">
        <v>1</v>
      </c>
      <c r="U278" s="100">
        <v>1.7786801565664006E+19</v>
      </c>
      <c r="V278" s="100"/>
    </row>
    <row r="279" spans="4:22" ht="15" customHeight="1">
      <c r="D279" s="98" t="b">
        <v>0</v>
      </c>
      <c r="E279" s="93">
        <v>0</v>
      </c>
      <c r="F279" s="91">
        <v>2</v>
      </c>
      <c r="G279" s="91" t="s">
        <v>74</v>
      </c>
      <c r="H279" s="92"/>
      <c r="I279" s="92">
        <v>0</v>
      </c>
      <c r="J279" s="92">
        <v>0</v>
      </c>
      <c r="K279" s="92">
        <v>15.05</v>
      </c>
      <c r="L279" s="92" t="s">
        <v>78</v>
      </c>
      <c r="M279" s="92" t="s">
        <v>90</v>
      </c>
      <c r="N279" s="92" t="s">
        <v>77</v>
      </c>
      <c r="O279" s="92" t="b">
        <v>1</v>
      </c>
      <c r="P279" s="92"/>
      <c r="Q279" s="92" t="s">
        <v>84</v>
      </c>
      <c r="R279" s="92" t="s">
        <v>80</v>
      </c>
      <c r="S279" s="92" t="b">
        <v>1</v>
      </c>
      <c r="T279" s="100">
        <v>1</v>
      </c>
      <c r="U279" s="100">
        <v>7.548163418903297E+18</v>
      </c>
      <c r="V279" s="100"/>
    </row>
    <row r="280" spans="4:22" ht="15" customHeight="1">
      <c r="D280" s="98" t="b">
        <v>0</v>
      </c>
      <c r="E280" s="93">
        <v>0</v>
      </c>
      <c r="F280" s="91">
        <v>3</v>
      </c>
      <c r="G280" s="91" t="s">
        <v>74</v>
      </c>
      <c r="H280" s="92">
        <v>9</v>
      </c>
      <c r="I280" s="92">
        <v>4</v>
      </c>
      <c r="J280" s="92">
        <v>2</v>
      </c>
      <c r="K280" s="92">
        <v>31.387499999999999</v>
      </c>
      <c r="L280" s="92" t="s">
        <v>75</v>
      </c>
      <c r="M280" s="92" t="s">
        <v>76</v>
      </c>
      <c r="N280" s="92" t="s">
        <v>89</v>
      </c>
      <c r="O280" s="92" t="b">
        <v>0</v>
      </c>
      <c r="P280" s="92"/>
      <c r="Q280" s="92" t="s">
        <v>79</v>
      </c>
      <c r="R280" s="92" t="s">
        <v>80</v>
      </c>
      <c r="S280" s="92" t="b">
        <v>0</v>
      </c>
      <c r="T280" s="100">
        <v>1</v>
      </c>
      <c r="U280" s="100">
        <v>1.7463118089093257E+19</v>
      </c>
      <c r="V280" s="100"/>
    </row>
    <row r="281" spans="4:22" ht="15" customHeight="1">
      <c r="D281" s="98" t="b">
        <v>0</v>
      </c>
      <c r="E281" s="93">
        <v>1</v>
      </c>
      <c r="F281" s="91">
        <v>2</v>
      </c>
      <c r="G281" s="91" t="s">
        <v>74</v>
      </c>
      <c r="H281" s="92">
        <v>1</v>
      </c>
      <c r="I281" s="92">
        <v>2</v>
      </c>
      <c r="J281" s="92">
        <v>1</v>
      </c>
      <c r="K281" s="92">
        <v>39</v>
      </c>
      <c r="L281" s="92" t="s">
        <v>75</v>
      </c>
      <c r="M281" s="92" t="s">
        <v>90</v>
      </c>
      <c r="N281" s="92" t="s">
        <v>89</v>
      </c>
      <c r="O281" s="92" t="b">
        <v>0</v>
      </c>
      <c r="P281" s="92" t="s">
        <v>95</v>
      </c>
      <c r="Q281" s="92" t="s">
        <v>79</v>
      </c>
      <c r="R281" s="92" t="s">
        <v>85</v>
      </c>
      <c r="S281" s="92" t="b">
        <v>0</v>
      </c>
      <c r="T281" s="100">
        <v>0</v>
      </c>
      <c r="U281" s="100">
        <v>1.1284558876858343E+19</v>
      </c>
      <c r="V281" s="100"/>
    </row>
    <row r="282" spans="4:22" ht="15" customHeight="1">
      <c r="D282" s="98" t="b">
        <v>0</v>
      </c>
      <c r="E282" s="93">
        <v>1</v>
      </c>
      <c r="F282" s="91">
        <v>3</v>
      </c>
      <c r="G282" s="91" t="s">
        <v>81</v>
      </c>
      <c r="H282" s="92">
        <v>4</v>
      </c>
      <c r="I282" s="92">
        <v>0</v>
      </c>
      <c r="J282" s="92">
        <v>2</v>
      </c>
      <c r="K282" s="92">
        <v>22.024999999999999</v>
      </c>
      <c r="L282" s="92" t="s">
        <v>75</v>
      </c>
      <c r="M282" s="92" t="s">
        <v>76</v>
      </c>
      <c r="N282" s="92" t="s">
        <v>89</v>
      </c>
      <c r="O282" s="92" t="b">
        <v>0</v>
      </c>
      <c r="P282" s="92"/>
      <c r="Q282" s="92" t="s">
        <v>79</v>
      </c>
      <c r="R282" s="92" t="s">
        <v>85</v>
      </c>
      <c r="S282" s="92" t="b">
        <v>0</v>
      </c>
      <c r="T282" s="100">
        <v>1</v>
      </c>
      <c r="U282" s="100">
        <v>1.7373431811004039E+19</v>
      </c>
      <c r="V282" s="100"/>
    </row>
    <row r="283" spans="4:22" ht="15" customHeight="1">
      <c r="D283" s="98" t="b">
        <v>0</v>
      </c>
      <c r="E283" s="93">
        <v>0</v>
      </c>
      <c r="F283" s="91">
        <v>1</v>
      </c>
      <c r="G283" s="91" t="s">
        <v>74</v>
      </c>
      <c r="H283" s="92"/>
      <c r="I283" s="92">
        <v>0</v>
      </c>
      <c r="J283" s="92">
        <v>0</v>
      </c>
      <c r="K283" s="92">
        <v>50</v>
      </c>
      <c r="L283" s="92" t="s">
        <v>75</v>
      </c>
      <c r="M283" s="92" t="s">
        <v>82</v>
      </c>
      <c r="N283" s="92" t="s">
        <v>77</v>
      </c>
      <c r="O283" s="92" t="b">
        <v>1</v>
      </c>
      <c r="P283" s="92" t="s">
        <v>93</v>
      </c>
      <c r="Q283" s="92" t="s">
        <v>79</v>
      </c>
      <c r="R283" s="92" t="s">
        <v>80</v>
      </c>
      <c r="S283" s="92" t="b">
        <v>1</v>
      </c>
      <c r="T283" s="100">
        <v>1</v>
      </c>
      <c r="U283" s="100">
        <v>8.0374619544535132E+18</v>
      </c>
      <c r="V283" s="100"/>
    </row>
    <row r="284" spans="4:22" ht="15" customHeight="1">
      <c r="D284" s="98" t="b">
        <v>0</v>
      </c>
      <c r="E284" s="93">
        <v>1</v>
      </c>
      <c r="F284" s="91">
        <v>3</v>
      </c>
      <c r="G284" s="91" t="s">
        <v>81</v>
      </c>
      <c r="H284" s="92"/>
      <c r="I284" s="92">
        <v>1</v>
      </c>
      <c r="J284" s="92">
        <v>0</v>
      </c>
      <c r="K284" s="92">
        <v>15.5</v>
      </c>
      <c r="L284" s="92" t="s">
        <v>86</v>
      </c>
      <c r="M284" s="92" t="s">
        <v>76</v>
      </c>
      <c r="N284" s="92" t="s">
        <v>83</v>
      </c>
      <c r="O284" s="92" t="b">
        <v>0</v>
      </c>
      <c r="P284" s="92"/>
      <c r="Q284" s="92" t="s">
        <v>87</v>
      </c>
      <c r="R284" s="92" t="s">
        <v>85</v>
      </c>
      <c r="S284" s="92" t="b">
        <v>0</v>
      </c>
      <c r="T284" s="100">
        <v>1</v>
      </c>
      <c r="U284" s="100">
        <v>3.2425118733691351E+18</v>
      </c>
      <c r="V284" s="100"/>
    </row>
    <row r="285" spans="4:22" ht="15" customHeight="1">
      <c r="D285" s="98" t="b">
        <v>0</v>
      </c>
      <c r="E285" s="93">
        <v>1</v>
      </c>
      <c r="F285" s="91">
        <v>1</v>
      </c>
      <c r="G285" s="91" t="s">
        <v>74</v>
      </c>
      <c r="H285" s="92">
        <v>45</v>
      </c>
      <c r="I285" s="92">
        <v>0</v>
      </c>
      <c r="J285" s="92">
        <v>0</v>
      </c>
      <c r="K285" s="92">
        <v>26.55</v>
      </c>
      <c r="L285" s="92" t="s">
        <v>75</v>
      </c>
      <c r="M285" s="92" t="s">
        <v>82</v>
      </c>
      <c r="N285" s="92" t="s">
        <v>77</v>
      </c>
      <c r="O285" s="92" t="b">
        <v>1</v>
      </c>
      <c r="P285" s="92"/>
      <c r="Q285" s="92" t="s">
        <v>79</v>
      </c>
      <c r="R285" s="92" t="s">
        <v>85</v>
      </c>
      <c r="S285" s="92" t="b">
        <v>1</v>
      </c>
      <c r="T285" s="100">
        <v>1</v>
      </c>
      <c r="U285" s="100">
        <v>9.4815926822622577E+18</v>
      </c>
      <c r="V285" s="100"/>
    </row>
    <row r="286" spans="4:22" ht="15" customHeight="1">
      <c r="D286" s="98" t="b">
        <v>0</v>
      </c>
      <c r="E286" s="93">
        <v>0</v>
      </c>
      <c r="F286" s="91">
        <v>3</v>
      </c>
      <c r="G286" s="91" t="s">
        <v>74</v>
      </c>
      <c r="H286" s="92">
        <v>40</v>
      </c>
      <c r="I286" s="92">
        <v>1</v>
      </c>
      <c r="J286" s="92">
        <v>1</v>
      </c>
      <c r="K286" s="92">
        <v>15.5</v>
      </c>
      <c r="L286" s="92" t="s">
        <v>86</v>
      </c>
      <c r="M286" s="92" t="s">
        <v>76</v>
      </c>
      <c r="N286" s="92" t="s">
        <v>77</v>
      </c>
      <c r="O286" s="92" t="b">
        <v>1</v>
      </c>
      <c r="P286" s="92"/>
      <c r="Q286" s="92" t="s">
        <v>87</v>
      </c>
      <c r="R286" s="92" t="s">
        <v>80</v>
      </c>
      <c r="S286" s="92" t="b">
        <v>0</v>
      </c>
      <c r="T286" s="100">
        <v>1</v>
      </c>
      <c r="U286" s="100">
        <v>7.2200692791859763E+18</v>
      </c>
      <c r="V286" s="100"/>
    </row>
    <row r="287" spans="4:22" ht="15" customHeight="1">
      <c r="D287" s="98" t="b">
        <v>0</v>
      </c>
      <c r="E287" s="93">
        <v>0</v>
      </c>
      <c r="F287" s="91">
        <v>3</v>
      </c>
      <c r="G287" s="91" t="s">
        <v>74</v>
      </c>
      <c r="H287" s="92">
        <v>36</v>
      </c>
      <c r="I287" s="92">
        <v>0</v>
      </c>
      <c r="J287" s="92">
        <v>0</v>
      </c>
      <c r="K287" s="92">
        <v>7.8958000000000004</v>
      </c>
      <c r="L287" s="92" t="s">
        <v>75</v>
      </c>
      <c r="M287" s="92" t="s">
        <v>76</v>
      </c>
      <c r="N287" s="92" t="s">
        <v>77</v>
      </c>
      <c r="O287" s="92" t="b">
        <v>1</v>
      </c>
      <c r="P287" s="92"/>
      <c r="Q287" s="92" t="s">
        <v>79</v>
      </c>
      <c r="R287" s="92" t="s">
        <v>80</v>
      </c>
      <c r="S287" s="92" t="b">
        <v>1</v>
      </c>
      <c r="T287" s="100">
        <v>1</v>
      </c>
      <c r="U287" s="100">
        <v>1.4865160771868539E+19</v>
      </c>
      <c r="V287" s="100"/>
    </row>
    <row r="288" spans="4:22" ht="15" customHeight="1">
      <c r="D288" s="98" t="b">
        <v>0</v>
      </c>
      <c r="E288" s="93">
        <v>1</v>
      </c>
      <c r="F288" s="91">
        <v>2</v>
      </c>
      <c r="G288" s="91" t="s">
        <v>81</v>
      </c>
      <c r="H288" s="92">
        <v>32</v>
      </c>
      <c r="I288" s="92">
        <v>0</v>
      </c>
      <c r="J288" s="92">
        <v>0</v>
      </c>
      <c r="K288" s="92">
        <v>13</v>
      </c>
      <c r="L288" s="92" t="s">
        <v>75</v>
      </c>
      <c r="M288" s="92" t="s">
        <v>90</v>
      </c>
      <c r="N288" s="92" t="s">
        <v>83</v>
      </c>
      <c r="O288" s="92" t="b">
        <v>0</v>
      </c>
      <c r="P288" s="92"/>
      <c r="Q288" s="92" t="s">
        <v>79</v>
      </c>
      <c r="R288" s="92" t="s">
        <v>85</v>
      </c>
      <c r="S288" s="92" t="b">
        <v>1</v>
      </c>
      <c r="T288" s="100">
        <v>1</v>
      </c>
      <c r="U288" s="100">
        <v>3.5704505216313052E+18</v>
      </c>
      <c r="V288" s="100"/>
    </row>
    <row r="289" spans="4:22" ht="15" customHeight="1">
      <c r="D289" s="98" t="b">
        <v>0</v>
      </c>
      <c r="E289" s="93">
        <v>0</v>
      </c>
      <c r="F289" s="91">
        <v>2</v>
      </c>
      <c r="G289" s="91" t="s">
        <v>74</v>
      </c>
      <c r="H289" s="92">
        <v>19</v>
      </c>
      <c r="I289" s="92">
        <v>0</v>
      </c>
      <c r="J289" s="92">
        <v>0</v>
      </c>
      <c r="K289" s="92">
        <v>13</v>
      </c>
      <c r="L289" s="92" t="s">
        <v>75</v>
      </c>
      <c r="M289" s="92" t="s">
        <v>90</v>
      </c>
      <c r="N289" s="92" t="s">
        <v>77</v>
      </c>
      <c r="O289" s="92" t="b">
        <v>1</v>
      </c>
      <c r="P289" s="92"/>
      <c r="Q289" s="92" t="s">
        <v>79</v>
      </c>
      <c r="R289" s="92" t="s">
        <v>80</v>
      </c>
      <c r="S289" s="92" t="b">
        <v>1</v>
      </c>
      <c r="T289" s="100">
        <v>1</v>
      </c>
      <c r="U289" s="100">
        <v>4.3403053113691551E+18</v>
      </c>
      <c r="V289" s="100"/>
    </row>
    <row r="290" spans="4:22" ht="15" customHeight="1">
      <c r="D290" s="98" t="b">
        <v>0</v>
      </c>
      <c r="E290" s="93">
        <v>1</v>
      </c>
      <c r="F290" s="91">
        <v>3</v>
      </c>
      <c r="G290" s="91" t="s">
        <v>81</v>
      </c>
      <c r="H290" s="92">
        <v>19</v>
      </c>
      <c r="I290" s="92">
        <v>1</v>
      </c>
      <c r="J290" s="92">
        <v>0</v>
      </c>
      <c r="K290" s="92">
        <v>7.8541999999999996</v>
      </c>
      <c r="L290" s="92" t="s">
        <v>75</v>
      </c>
      <c r="M290" s="92" t="s">
        <v>76</v>
      </c>
      <c r="N290" s="92" t="s">
        <v>83</v>
      </c>
      <c r="O290" s="92" t="b">
        <v>0</v>
      </c>
      <c r="P290" s="92"/>
      <c r="Q290" s="92" t="s">
        <v>79</v>
      </c>
      <c r="R290" s="92" t="s">
        <v>85</v>
      </c>
      <c r="S290" s="92" t="b">
        <v>0</v>
      </c>
      <c r="T290" s="100">
        <v>1</v>
      </c>
      <c r="U290" s="100">
        <v>6.2386367535693066E+18</v>
      </c>
      <c r="V290" s="100"/>
    </row>
    <row r="291" spans="4:22" ht="15" customHeight="1">
      <c r="D291" s="98" t="b">
        <v>0</v>
      </c>
      <c r="E291" s="93">
        <v>1</v>
      </c>
      <c r="F291" s="91">
        <v>2</v>
      </c>
      <c r="G291" s="91" t="s">
        <v>74</v>
      </c>
      <c r="H291" s="92">
        <v>3</v>
      </c>
      <c r="I291" s="92">
        <v>1</v>
      </c>
      <c r="J291" s="92">
        <v>1</v>
      </c>
      <c r="K291" s="92">
        <v>26</v>
      </c>
      <c r="L291" s="92" t="s">
        <v>75</v>
      </c>
      <c r="M291" s="92" t="s">
        <v>90</v>
      </c>
      <c r="N291" s="92" t="s">
        <v>89</v>
      </c>
      <c r="O291" s="92" t="b">
        <v>0</v>
      </c>
      <c r="P291" s="92" t="s">
        <v>95</v>
      </c>
      <c r="Q291" s="92" t="s">
        <v>79</v>
      </c>
      <c r="R291" s="92" t="s">
        <v>85</v>
      </c>
      <c r="S291" s="92" t="b">
        <v>0</v>
      </c>
      <c r="T291" s="100">
        <v>0</v>
      </c>
      <c r="U291" s="100">
        <v>1.7769600487903175E+19</v>
      </c>
      <c r="V291" s="100"/>
    </row>
    <row r="292" spans="4:22" ht="15" customHeight="1">
      <c r="D292" s="98" t="b">
        <v>0</v>
      </c>
      <c r="E292" s="93">
        <v>1</v>
      </c>
      <c r="F292" s="91">
        <v>1</v>
      </c>
      <c r="G292" s="91" t="s">
        <v>81</v>
      </c>
      <c r="H292" s="92">
        <v>44</v>
      </c>
      <c r="I292" s="92">
        <v>0</v>
      </c>
      <c r="J292" s="92">
        <v>0</v>
      </c>
      <c r="K292" s="92">
        <v>27.720800000000001</v>
      </c>
      <c r="L292" s="92" t="s">
        <v>78</v>
      </c>
      <c r="M292" s="92" t="s">
        <v>82</v>
      </c>
      <c r="N292" s="92" t="s">
        <v>83</v>
      </c>
      <c r="O292" s="92" t="b">
        <v>0</v>
      </c>
      <c r="P292" s="92" t="s">
        <v>94</v>
      </c>
      <c r="Q292" s="92" t="s">
        <v>84</v>
      </c>
      <c r="R292" s="92" t="s">
        <v>85</v>
      </c>
      <c r="S292" s="92" t="b">
        <v>1</v>
      </c>
      <c r="T292" s="100">
        <v>0</v>
      </c>
      <c r="U292" s="100">
        <v>1.6546594770156818E+19</v>
      </c>
      <c r="V292" s="100"/>
    </row>
    <row r="293" spans="4:22" ht="15" customHeight="1">
      <c r="D293" s="98" t="b">
        <v>0</v>
      </c>
      <c r="E293" s="93">
        <v>1</v>
      </c>
      <c r="F293" s="91">
        <v>1</v>
      </c>
      <c r="G293" s="91" t="s">
        <v>81</v>
      </c>
      <c r="H293" s="92">
        <v>58</v>
      </c>
      <c r="I293" s="92">
        <v>0</v>
      </c>
      <c r="J293" s="92">
        <v>0</v>
      </c>
      <c r="K293" s="92">
        <v>146.52080000000001</v>
      </c>
      <c r="L293" s="92" t="s">
        <v>78</v>
      </c>
      <c r="M293" s="92" t="s">
        <v>82</v>
      </c>
      <c r="N293" s="92" t="s">
        <v>83</v>
      </c>
      <c r="O293" s="92" t="b">
        <v>0</v>
      </c>
      <c r="P293" s="92" t="s">
        <v>94</v>
      </c>
      <c r="Q293" s="92" t="s">
        <v>84</v>
      </c>
      <c r="R293" s="92" t="s">
        <v>85</v>
      </c>
      <c r="S293" s="92" t="b">
        <v>1</v>
      </c>
      <c r="T293" s="100">
        <v>0</v>
      </c>
      <c r="U293" s="100">
        <v>1.5191562648761483E+19</v>
      </c>
      <c r="V293" s="100"/>
    </row>
    <row r="294" spans="4:22" ht="15" customHeight="1">
      <c r="D294" s="98" t="b">
        <v>0</v>
      </c>
      <c r="E294" s="93">
        <v>0</v>
      </c>
      <c r="F294" s="91">
        <v>3</v>
      </c>
      <c r="G294" s="91" t="s">
        <v>74</v>
      </c>
      <c r="H294" s="92"/>
      <c r="I294" s="92">
        <v>0</v>
      </c>
      <c r="J294" s="92">
        <v>0</v>
      </c>
      <c r="K294" s="92">
        <v>7.75</v>
      </c>
      <c r="L294" s="92" t="s">
        <v>86</v>
      </c>
      <c r="M294" s="92" t="s">
        <v>76</v>
      </c>
      <c r="N294" s="92" t="s">
        <v>77</v>
      </c>
      <c r="O294" s="92" t="b">
        <v>1</v>
      </c>
      <c r="P294" s="92"/>
      <c r="Q294" s="92" t="s">
        <v>87</v>
      </c>
      <c r="R294" s="92" t="s">
        <v>80</v>
      </c>
      <c r="S294" s="92" t="b">
        <v>1</v>
      </c>
      <c r="T294" s="100">
        <v>1</v>
      </c>
      <c r="U294" s="100">
        <v>1.8659124076202463E+18</v>
      </c>
      <c r="V294" s="100"/>
    </row>
    <row r="295" spans="4:22" ht="15" customHeight="1">
      <c r="D295" s="98" t="b">
        <v>0</v>
      </c>
      <c r="E295" s="93">
        <v>0</v>
      </c>
      <c r="F295" s="91">
        <v>3</v>
      </c>
      <c r="G295" s="91" t="s">
        <v>74</v>
      </c>
      <c r="H295" s="92">
        <v>42</v>
      </c>
      <c r="I295" s="92">
        <v>0</v>
      </c>
      <c r="J295" s="92">
        <v>1</v>
      </c>
      <c r="K295" s="92">
        <v>8.4041999999999994</v>
      </c>
      <c r="L295" s="92" t="s">
        <v>75</v>
      </c>
      <c r="M295" s="92" t="s">
        <v>76</v>
      </c>
      <c r="N295" s="92" t="s">
        <v>77</v>
      </c>
      <c r="O295" s="92" t="b">
        <v>1</v>
      </c>
      <c r="P295" s="92"/>
      <c r="Q295" s="92" t="s">
        <v>79</v>
      </c>
      <c r="R295" s="92" t="s">
        <v>80</v>
      </c>
      <c r="S295" s="92" t="b">
        <v>0</v>
      </c>
      <c r="T295" s="100">
        <v>1</v>
      </c>
      <c r="U295" s="100">
        <v>9.0880546003880499E+18</v>
      </c>
      <c r="V295" s="100"/>
    </row>
    <row r="296" spans="4:22" ht="15" customHeight="1">
      <c r="D296" s="98" t="b">
        <v>0</v>
      </c>
      <c r="E296" s="93">
        <v>1</v>
      </c>
      <c r="F296" s="91">
        <v>3</v>
      </c>
      <c r="G296" s="91" t="s">
        <v>81</v>
      </c>
      <c r="H296" s="92"/>
      <c r="I296" s="92">
        <v>0</v>
      </c>
      <c r="J296" s="92">
        <v>0</v>
      </c>
      <c r="K296" s="92">
        <v>7.75</v>
      </c>
      <c r="L296" s="92" t="s">
        <v>86</v>
      </c>
      <c r="M296" s="92" t="s">
        <v>76</v>
      </c>
      <c r="N296" s="92" t="s">
        <v>83</v>
      </c>
      <c r="O296" s="92" t="b">
        <v>0</v>
      </c>
      <c r="P296" s="92"/>
      <c r="Q296" s="92" t="s">
        <v>87</v>
      </c>
      <c r="R296" s="92" t="s">
        <v>85</v>
      </c>
      <c r="S296" s="92" t="b">
        <v>1</v>
      </c>
      <c r="T296" s="100">
        <v>1</v>
      </c>
      <c r="U296" s="100">
        <v>9.0824774226500116E+18</v>
      </c>
      <c r="V296" s="100"/>
    </row>
    <row r="297" spans="4:22" ht="15" customHeight="1">
      <c r="D297" s="98" t="b">
        <v>0</v>
      </c>
      <c r="E297" s="93">
        <v>0</v>
      </c>
      <c r="F297" s="91">
        <v>2</v>
      </c>
      <c r="G297" s="91" t="s">
        <v>81</v>
      </c>
      <c r="H297" s="92">
        <v>24</v>
      </c>
      <c r="I297" s="92">
        <v>0</v>
      </c>
      <c r="J297" s="92">
        <v>0</v>
      </c>
      <c r="K297" s="92">
        <v>13</v>
      </c>
      <c r="L297" s="92" t="s">
        <v>75</v>
      </c>
      <c r="M297" s="92" t="s">
        <v>90</v>
      </c>
      <c r="N297" s="92" t="s">
        <v>83</v>
      </c>
      <c r="O297" s="92" t="b">
        <v>0</v>
      </c>
      <c r="P297" s="92"/>
      <c r="Q297" s="92" t="s">
        <v>79</v>
      </c>
      <c r="R297" s="92" t="s">
        <v>80</v>
      </c>
      <c r="S297" s="92" t="b">
        <v>1</v>
      </c>
      <c r="T297" s="100">
        <v>1</v>
      </c>
      <c r="U297" s="100">
        <v>2.9694583041421763E+18</v>
      </c>
      <c r="V297" s="100"/>
    </row>
    <row r="298" spans="4:22" ht="15" customHeight="1">
      <c r="D298" s="98" t="b">
        <v>0</v>
      </c>
      <c r="E298" s="93">
        <v>0</v>
      </c>
      <c r="F298" s="91">
        <v>3</v>
      </c>
      <c r="G298" s="91" t="s">
        <v>74</v>
      </c>
      <c r="H298" s="92">
        <v>28</v>
      </c>
      <c r="I298" s="92">
        <v>0</v>
      </c>
      <c r="J298" s="92">
        <v>0</v>
      </c>
      <c r="K298" s="92">
        <v>9.5</v>
      </c>
      <c r="L298" s="92" t="s">
        <v>75</v>
      </c>
      <c r="M298" s="92" t="s">
        <v>76</v>
      </c>
      <c r="N298" s="92" t="s">
        <v>77</v>
      </c>
      <c r="O298" s="92" t="b">
        <v>1</v>
      </c>
      <c r="P298" s="92"/>
      <c r="Q298" s="92" t="s">
        <v>79</v>
      </c>
      <c r="R298" s="92" t="s">
        <v>80</v>
      </c>
      <c r="S298" s="92" t="b">
        <v>1</v>
      </c>
      <c r="T298" s="100">
        <v>1</v>
      </c>
      <c r="U298" s="100">
        <v>1.4007622470247682E+19</v>
      </c>
      <c r="V298" s="100"/>
    </row>
    <row r="299" spans="4:22" ht="15" customHeight="1">
      <c r="D299" s="98" t="b">
        <v>0</v>
      </c>
      <c r="E299" s="93">
        <v>0</v>
      </c>
      <c r="F299" s="91">
        <v>3</v>
      </c>
      <c r="G299" s="91" t="s">
        <v>74</v>
      </c>
      <c r="H299" s="92"/>
      <c r="I299" s="92">
        <v>8</v>
      </c>
      <c r="J299" s="92">
        <v>2</v>
      </c>
      <c r="K299" s="92">
        <v>69.55</v>
      </c>
      <c r="L299" s="92" t="s">
        <v>75</v>
      </c>
      <c r="M299" s="92" t="s">
        <v>76</v>
      </c>
      <c r="N299" s="92" t="s">
        <v>77</v>
      </c>
      <c r="O299" s="92" t="b">
        <v>1</v>
      </c>
      <c r="P299" s="92"/>
      <c r="Q299" s="92" t="s">
        <v>79</v>
      </c>
      <c r="R299" s="92" t="s">
        <v>80</v>
      </c>
      <c r="S299" s="92" t="b">
        <v>0</v>
      </c>
      <c r="T299" s="100">
        <v>1</v>
      </c>
      <c r="U299" s="100">
        <v>1.4267608982933174E+18</v>
      </c>
      <c r="V299" s="100"/>
    </row>
    <row r="300" spans="4:22" ht="15" customHeight="1">
      <c r="D300" s="98" t="b">
        <v>0</v>
      </c>
      <c r="E300" s="93">
        <v>0</v>
      </c>
      <c r="F300" s="91">
        <v>3</v>
      </c>
      <c r="G300" s="91" t="s">
        <v>74</v>
      </c>
      <c r="H300" s="92">
        <v>34</v>
      </c>
      <c r="I300" s="92">
        <v>0</v>
      </c>
      <c r="J300" s="92">
        <v>0</v>
      </c>
      <c r="K300" s="92">
        <v>6.4958</v>
      </c>
      <c r="L300" s="92" t="s">
        <v>75</v>
      </c>
      <c r="M300" s="92" t="s">
        <v>76</v>
      </c>
      <c r="N300" s="92" t="s">
        <v>77</v>
      </c>
      <c r="O300" s="92" t="b">
        <v>1</v>
      </c>
      <c r="P300" s="92"/>
      <c r="Q300" s="92" t="s">
        <v>79</v>
      </c>
      <c r="R300" s="92" t="s">
        <v>80</v>
      </c>
      <c r="S300" s="92" t="b">
        <v>1</v>
      </c>
      <c r="T300" s="100">
        <v>1</v>
      </c>
      <c r="U300" s="100">
        <v>1.0518774597354085E+18</v>
      </c>
      <c r="V300" s="100"/>
    </row>
    <row r="301" spans="4:22" ht="15" customHeight="1">
      <c r="D301" s="98" t="b">
        <v>0</v>
      </c>
      <c r="E301" s="93">
        <v>1</v>
      </c>
      <c r="F301" s="91">
        <v>3</v>
      </c>
      <c r="G301" s="91" t="s">
        <v>74</v>
      </c>
      <c r="H301" s="92">
        <v>18</v>
      </c>
      <c r="I301" s="92">
        <v>0</v>
      </c>
      <c r="J301" s="92">
        <v>0</v>
      </c>
      <c r="K301" s="92">
        <v>8.0500000000000007</v>
      </c>
      <c r="L301" s="92" t="s">
        <v>75</v>
      </c>
      <c r="M301" s="92" t="s">
        <v>76</v>
      </c>
      <c r="N301" s="92" t="s">
        <v>77</v>
      </c>
      <c r="O301" s="92" t="b">
        <v>1</v>
      </c>
      <c r="P301" s="92"/>
      <c r="Q301" s="92" t="s">
        <v>79</v>
      </c>
      <c r="R301" s="92" t="s">
        <v>85</v>
      </c>
      <c r="S301" s="92" t="b">
        <v>1</v>
      </c>
      <c r="T301" s="100">
        <v>1</v>
      </c>
      <c r="U301" s="100">
        <v>1.0050812672837067E+19</v>
      </c>
      <c r="V301" s="100"/>
    </row>
    <row r="302" spans="4:22" ht="15" customHeight="1">
      <c r="D302" s="98" t="b">
        <v>0</v>
      </c>
      <c r="E302" s="93">
        <v>0</v>
      </c>
      <c r="F302" s="91">
        <v>3</v>
      </c>
      <c r="G302" s="91" t="s">
        <v>81</v>
      </c>
      <c r="H302" s="92">
        <v>2</v>
      </c>
      <c r="I302" s="92">
        <v>0</v>
      </c>
      <c r="J302" s="92">
        <v>1</v>
      </c>
      <c r="K302" s="92">
        <v>10.4625</v>
      </c>
      <c r="L302" s="92" t="s">
        <v>75</v>
      </c>
      <c r="M302" s="92" t="s">
        <v>76</v>
      </c>
      <c r="N302" s="92" t="s">
        <v>89</v>
      </c>
      <c r="O302" s="92" t="b">
        <v>0</v>
      </c>
      <c r="P302" s="92" t="s">
        <v>91</v>
      </c>
      <c r="Q302" s="92" t="s">
        <v>79</v>
      </c>
      <c r="R302" s="92" t="s">
        <v>80</v>
      </c>
      <c r="S302" s="92" t="b">
        <v>0</v>
      </c>
      <c r="T302" s="100">
        <v>0</v>
      </c>
      <c r="U302" s="100">
        <v>9.1163099730049935E+18</v>
      </c>
      <c r="V302" s="100"/>
    </row>
    <row r="303" spans="4:22" ht="15" customHeight="1">
      <c r="D303" s="98" t="b">
        <v>0</v>
      </c>
      <c r="E303" s="93">
        <v>0</v>
      </c>
      <c r="F303" s="91">
        <v>3</v>
      </c>
      <c r="G303" s="91" t="s">
        <v>74</v>
      </c>
      <c r="H303" s="92">
        <v>32</v>
      </c>
      <c r="I303" s="92">
        <v>1</v>
      </c>
      <c r="J303" s="92">
        <v>0</v>
      </c>
      <c r="K303" s="92">
        <v>15.85</v>
      </c>
      <c r="L303" s="92" t="s">
        <v>75</v>
      </c>
      <c r="M303" s="92" t="s">
        <v>76</v>
      </c>
      <c r="N303" s="92" t="s">
        <v>77</v>
      </c>
      <c r="O303" s="92" t="b">
        <v>1</v>
      </c>
      <c r="P303" s="92"/>
      <c r="Q303" s="92" t="s">
        <v>79</v>
      </c>
      <c r="R303" s="92" t="s">
        <v>80</v>
      </c>
      <c r="S303" s="92" t="b">
        <v>0</v>
      </c>
      <c r="T303" s="100">
        <v>1</v>
      </c>
      <c r="U303" s="100">
        <v>6.4233268810060339E+18</v>
      </c>
      <c r="V303" s="100"/>
    </row>
    <row r="304" spans="4:22" ht="15" customHeight="1">
      <c r="D304" s="98" t="b">
        <v>0</v>
      </c>
      <c r="E304" s="93">
        <v>1</v>
      </c>
      <c r="F304" s="91">
        <v>3</v>
      </c>
      <c r="G304" s="91" t="s">
        <v>74</v>
      </c>
      <c r="H304" s="92">
        <v>26</v>
      </c>
      <c r="I304" s="92">
        <v>0</v>
      </c>
      <c r="J304" s="92">
        <v>0</v>
      </c>
      <c r="K304" s="92">
        <v>18.787500000000001</v>
      </c>
      <c r="L304" s="92" t="s">
        <v>78</v>
      </c>
      <c r="M304" s="92" t="s">
        <v>76</v>
      </c>
      <c r="N304" s="92" t="s">
        <v>77</v>
      </c>
      <c r="O304" s="92" t="b">
        <v>1</v>
      </c>
      <c r="P304" s="92"/>
      <c r="Q304" s="92" t="s">
        <v>84</v>
      </c>
      <c r="R304" s="92" t="s">
        <v>85</v>
      </c>
      <c r="S304" s="92" t="b">
        <v>1</v>
      </c>
      <c r="T304" s="100">
        <v>1</v>
      </c>
      <c r="U304" s="100">
        <v>8.5443145875522304E+18</v>
      </c>
      <c r="V304" s="100"/>
    </row>
    <row r="305" spans="4:22" ht="15" customHeight="1">
      <c r="D305" s="98" t="b">
        <v>0</v>
      </c>
      <c r="E305" s="93">
        <v>1</v>
      </c>
      <c r="F305" s="91">
        <v>3</v>
      </c>
      <c r="G305" s="91" t="s">
        <v>81</v>
      </c>
      <c r="H305" s="92">
        <v>16</v>
      </c>
      <c r="I305" s="92">
        <v>0</v>
      </c>
      <c r="J305" s="92">
        <v>0</v>
      </c>
      <c r="K305" s="92">
        <v>7.75</v>
      </c>
      <c r="L305" s="92" t="s">
        <v>86</v>
      </c>
      <c r="M305" s="92" t="s">
        <v>76</v>
      </c>
      <c r="N305" s="92" t="s">
        <v>83</v>
      </c>
      <c r="O305" s="92" t="b">
        <v>0</v>
      </c>
      <c r="P305" s="92"/>
      <c r="Q305" s="92" t="s">
        <v>87</v>
      </c>
      <c r="R305" s="92" t="s">
        <v>85</v>
      </c>
      <c r="S305" s="92" t="b">
        <v>1</v>
      </c>
      <c r="T305" s="100">
        <v>1</v>
      </c>
      <c r="U305" s="100">
        <v>5.9703184136264888E+16</v>
      </c>
      <c r="V305" s="100"/>
    </row>
    <row r="306" spans="4:22" ht="15" customHeight="1">
      <c r="D306" s="98" t="b">
        <v>0</v>
      </c>
      <c r="E306" s="93">
        <v>1</v>
      </c>
      <c r="F306" s="91">
        <v>1</v>
      </c>
      <c r="G306" s="91" t="s">
        <v>74</v>
      </c>
      <c r="H306" s="92">
        <v>40</v>
      </c>
      <c r="I306" s="92">
        <v>0</v>
      </c>
      <c r="J306" s="92">
        <v>0</v>
      </c>
      <c r="K306" s="92">
        <v>31</v>
      </c>
      <c r="L306" s="92" t="s">
        <v>78</v>
      </c>
      <c r="M306" s="92" t="s">
        <v>82</v>
      </c>
      <c r="N306" s="92" t="s">
        <v>77</v>
      </c>
      <c r="O306" s="92" t="b">
        <v>1</v>
      </c>
      <c r="P306" s="92" t="s">
        <v>93</v>
      </c>
      <c r="Q306" s="92" t="s">
        <v>84</v>
      </c>
      <c r="R306" s="92" t="s">
        <v>85</v>
      </c>
      <c r="S306" s="92" t="b">
        <v>1</v>
      </c>
      <c r="T306" s="100">
        <v>0</v>
      </c>
      <c r="U306" s="100">
        <v>4.5172435735916759E+18</v>
      </c>
      <c r="V306" s="100"/>
    </row>
    <row r="307" spans="4:22" ht="15" customHeight="1">
      <c r="D307" s="98" t="b">
        <v>0</v>
      </c>
      <c r="E307" s="93">
        <v>0</v>
      </c>
      <c r="F307" s="91">
        <v>3</v>
      </c>
      <c r="G307" s="91" t="s">
        <v>74</v>
      </c>
      <c r="H307" s="92">
        <v>24</v>
      </c>
      <c r="I307" s="92">
        <v>0</v>
      </c>
      <c r="J307" s="92">
        <v>0</v>
      </c>
      <c r="K307" s="92">
        <v>7.05</v>
      </c>
      <c r="L307" s="92" t="s">
        <v>75</v>
      </c>
      <c r="M307" s="92" t="s">
        <v>76</v>
      </c>
      <c r="N307" s="92" t="s">
        <v>77</v>
      </c>
      <c r="O307" s="92" t="b">
        <v>1</v>
      </c>
      <c r="P307" s="92"/>
      <c r="Q307" s="92" t="s">
        <v>79</v>
      </c>
      <c r="R307" s="92" t="s">
        <v>80</v>
      </c>
      <c r="S307" s="92" t="b">
        <v>1</v>
      </c>
      <c r="T307" s="100">
        <v>1</v>
      </c>
      <c r="U307" s="100">
        <v>1.580675443794124E+18</v>
      </c>
      <c r="V307" s="100"/>
    </row>
    <row r="308" spans="4:22" ht="15" customHeight="1">
      <c r="D308" s="98" t="b">
        <v>0</v>
      </c>
      <c r="E308" s="93">
        <v>1</v>
      </c>
      <c r="F308" s="91">
        <v>2</v>
      </c>
      <c r="G308" s="91" t="s">
        <v>81</v>
      </c>
      <c r="H308" s="92">
        <v>35</v>
      </c>
      <c r="I308" s="92">
        <v>0</v>
      </c>
      <c r="J308" s="92">
        <v>0</v>
      </c>
      <c r="K308" s="92">
        <v>21</v>
      </c>
      <c r="L308" s="92" t="s">
        <v>75</v>
      </c>
      <c r="M308" s="92" t="s">
        <v>90</v>
      </c>
      <c r="N308" s="92" t="s">
        <v>83</v>
      </c>
      <c r="O308" s="92" t="b">
        <v>0</v>
      </c>
      <c r="P308" s="92"/>
      <c r="Q308" s="92" t="s">
        <v>79</v>
      </c>
      <c r="R308" s="92" t="s">
        <v>85</v>
      </c>
      <c r="S308" s="92" t="b">
        <v>1</v>
      </c>
      <c r="T308" s="100">
        <v>1</v>
      </c>
      <c r="U308" s="100">
        <v>1.323576890351636E+18</v>
      </c>
      <c r="V308" s="100"/>
    </row>
    <row r="309" spans="4:22" ht="15" customHeight="1">
      <c r="D309" s="98" t="b">
        <v>0</v>
      </c>
      <c r="E309" s="93">
        <v>0</v>
      </c>
      <c r="F309" s="91">
        <v>3</v>
      </c>
      <c r="G309" s="91" t="s">
        <v>74</v>
      </c>
      <c r="H309" s="92">
        <v>22</v>
      </c>
      <c r="I309" s="92">
        <v>0</v>
      </c>
      <c r="J309" s="92">
        <v>0</v>
      </c>
      <c r="K309" s="92">
        <v>7.25</v>
      </c>
      <c r="L309" s="92" t="s">
        <v>75</v>
      </c>
      <c r="M309" s="92" t="s">
        <v>76</v>
      </c>
      <c r="N309" s="92" t="s">
        <v>77</v>
      </c>
      <c r="O309" s="92" t="b">
        <v>1</v>
      </c>
      <c r="P309" s="92"/>
      <c r="Q309" s="92" t="s">
        <v>79</v>
      </c>
      <c r="R309" s="92" t="s">
        <v>80</v>
      </c>
      <c r="S309" s="92" t="b">
        <v>1</v>
      </c>
      <c r="T309" s="100">
        <v>1</v>
      </c>
      <c r="U309" s="100">
        <v>9.2177959346448876E+18</v>
      </c>
      <c r="V309" s="100"/>
    </row>
    <row r="310" spans="4:22" ht="15" customHeight="1">
      <c r="D310" s="98" t="b">
        <v>0</v>
      </c>
      <c r="E310" s="93">
        <v>0</v>
      </c>
      <c r="F310" s="91">
        <v>2</v>
      </c>
      <c r="G310" s="91" t="s">
        <v>74</v>
      </c>
      <c r="H310" s="92">
        <v>30</v>
      </c>
      <c r="I310" s="92">
        <v>0</v>
      </c>
      <c r="J310" s="92">
        <v>0</v>
      </c>
      <c r="K310" s="92">
        <v>13</v>
      </c>
      <c r="L310" s="92" t="s">
        <v>75</v>
      </c>
      <c r="M310" s="92" t="s">
        <v>90</v>
      </c>
      <c r="N310" s="92" t="s">
        <v>77</v>
      </c>
      <c r="O310" s="92" t="b">
        <v>1</v>
      </c>
      <c r="P310" s="92"/>
      <c r="Q310" s="92" t="s">
        <v>79</v>
      </c>
      <c r="R310" s="92" t="s">
        <v>80</v>
      </c>
      <c r="S310" s="92" t="b">
        <v>1</v>
      </c>
      <c r="T310" s="100">
        <v>1</v>
      </c>
      <c r="U310" s="100">
        <v>2.9145808561328507E+18</v>
      </c>
      <c r="V310" s="100"/>
    </row>
    <row r="311" spans="4:22" ht="15" customHeight="1">
      <c r="D311" s="98" t="b">
        <v>0</v>
      </c>
      <c r="E311" s="93">
        <v>0</v>
      </c>
      <c r="F311" s="91">
        <v>3</v>
      </c>
      <c r="G311" s="91" t="s">
        <v>74</v>
      </c>
      <c r="H311" s="92"/>
      <c r="I311" s="92">
        <v>1</v>
      </c>
      <c r="J311" s="92">
        <v>0</v>
      </c>
      <c r="K311" s="92">
        <v>7.75</v>
      </c>
      <c r="L311" s="92" t="s">
        <v>86</v>
      </c>
      <c r="M311" s="92" t="s">
        <v>76</v>
      </c>
      <c r="N311" s="92" t="s">
        <v>77</v>
      </c>
      <c r="O311" s="92" t="b">
        <v>1</v>
      </c>
      <c r="P311" s="92"/>
      <c r="Q311" s="92" t="s">
        <v>87</v>
      </c>
      <c r="R311" s="92" t="s">
        <v>80</v>
      </c>
      <c r="S311" s="92" t="b">
        <v>0</v>
      </c>
      <c r="T311" s="100">
        <v>1</v>
      </c>
      <c r="U311" s="100">
        <v>1.2209089597323661E+19</v>
      </c>
      <c r="V311" s="100"/>
    </row>
    <row r="312" spans="4:22" ht="15" customHeight="1">
      <c r="D312" s="98" t="b">
        <v>0</v>
      </c>
      <c r="E312" s="93">
        <v>1</v>
      </c>
      <c r="F312" s="91">
        <v>1</v>
      </c>
      <c r="G312" s="91" t="s">
        <v>81</v>
      </c>
      <c r="H312" s="92">
        <v>31</v>
      </c>
      <c r="I312" s="92">
        <v>1</v>
      </c>
      <c r="J312" s="92">
        <v>0</v>
      </c>
      <c r="K312" s="92">
        <v>113.27500000000001</v>
      </c>
      <c r="L312" s="92" t="s">
        <v>78</v>
      </c>
      <c r="M312" s="92" t="s">
        <v>82</v>
      </c>
      <c r="N312" s="92" t="s">
        <v>83</v>
      </c>
      <c r="O312" s="92" t="b">
        <v>0</v>
      </c>
      <c r="P312" s="92" t="s">
        <v>92</v>
      </c>
      <c r="Q312" s="92" t="s">
        <v>84</v>
      </c>
      <c r="R312" s="92" t="s">
        <v>85</v>
      </c>
      <c r="S312" s="92" t="b">
        <v>0</v>
      </c>
      <c r="T312" s="100">
        <v>0</v>
      </c>
      <c r="U312" s="100">
        <v>9.2449167796489139E+17</v>
      </c>
      <c r="V312" s="100"/>
    </row>
    <row r="313" spans="4:22" ht="15" customHeight="1">
      <c r="D313" s="98" t="b">
        <v>0</v>
      </c>
      <c r="E313" s="93">
        <v>1</v>
      </c>
      <c r="F313" s="91">
        <v>3</v>
      </c>
      <c r="G313" s="91" t="s">
        <v>81</v>
      </c>
      <c r="H313" s="92">
        <v>27</v>
      </c>
      <c r="I313" s="92">
        <v>0</v>
      </c>
      <c r="J313" s="92">
        <v>0</v>
      </c>
      <c r="K313" s="92">
        <v>7.9249999999999998</v>
      </c>
      <c r="L313" s="92" t="s">
        <v>75</v>
      </c>
      <c r="M313" s="92" t="s">
        <v>76</v>
      </c>
      <c r="N313" s="92" t="s">
        <v>83</v>
      </c>
      <c r="O313" s="92" t="b">
        <v>0</v>
      </c>
      <c r="P313" s="92"/>
      <c r="Q313" s="92" t="s">
        <v>79</v>
      </c>
      <c r="R313" s="92" t="s">
        <v>85</v>
      </c>
      <c r="S313" s="92" t="b">
        <v>1</v>
      </c>
      <c r="T313" s="100">
        <v>1</v>
      </c>
      <c r="U313" s="100">
        <v>7.2347267834063626E+18</v>
      </c>
      <c r="V313" s="100"/>
    </row>
    <row r="314" spans="4:22" ht="15" customHeight="1">
      <c r="D314" s="98" t="b">
        <v>0</v>
      </c>
      <c r="E314" s="93">
        <v>0</v>
      </c>
      <c r="F314" s="91">
        <v>2</v>
      </c>
      <c r="G314" s="91" t="s">
        <v>74</v>
      </c>
      <c r="H314" s="92">
        <v>42</v>
      </c>
      <c r="I314" s="92">
        <v>1</v>
      </c>
      <c r="J314" s="92">
        <v>0</v>
      </c>
      <c r="K314" s="92">
        <v>27</v>
      </c>
      <c r="L314" s="92" t="s">
        <v>75</v>
      </c>
      <c r="M314" s="92" t="s">
        <v>90</v>
      </c>
      <c r="N314" s="92" t="s">
        <v>77</v>
      </c>
      <c r="O314" s="92" t="b">
        <v>1</v>
      </c>
      <c r="P314" s="92"/>
      <c r="Q314" s="92" t="s">
        <v>79</v>
      </c>
      <c r="R314" s="92" t="s">
        <v>80</v>
      </c>
      <c r="S314" s="92" t="b">
        <v>0</v>
      </c>
      <c r="T314" s="100">
        <v>1</v>
      </c>
      <c r="U314" s="100">
        <v>1.2774769271156935E+19</v>
      </c>
      <c r="V314" s="100"/>
    </row>
    <row r="315" spans="4:22" ht="15" customHeight="1">
      <c r="D315" s="98" t="b">
        <v>0</v>
      </c>
      <c r="E315" s="93">
        <v>1</v>
      </c>
      <c r="F315" s="91">
        <v>1</v>
      </c>
      <c r="G315" s="91" t="s">
        <v>81</v>
      </c>
      <c r="H315" s="92">
        <v>32</v>
      </c>
      <c r="I315" s="92">
        <v>0</v>
      </c>
      <c r="J315" s="92">
        <v>0</v>
      </c>
      <c r="K315" s="92">
        <v>76.291700000000006</v>
      </c>
      <c r="L315" s="92" t="s">
        <v>78</v>
      </c>
      <c r="M315" s="92" t="s">
        <v>82</v>
      </c>
      <c r="N315" s="92" t="s">
        <v>83</v>
      </c>
      <c r="O315" s="92" t="b">
        <v>0</v>
      </c>
      <c r="P315" s="92" t="s">
        <v>92</v>
      </c>
      <c r="Q315" s="92" t="s">
        <v>84</v>
      </c>
      <c r="R315" s="92" t="s">
        <v>85</v>
      </c>
      <c r="S315" s="92" t="b">
        <v>1</v>
      </c>
      <c r="T315" s="100">
        <v>0</v>
      </c>
      <c r="U315" s="100">
        <v>1.5261904790478772E+19</v>
      </c>
      <c r="V315" s="100"/>
    </row>
    <row r="316" spans="4:22" ht="15" customHeight="1">
      <c r="D316" s="98" t="b">
        <v>0</v>
      </c>
      <c r="E316" s="93">
        <v>0</v>
      </c>
      <c r="F316" s="91">
        <v>2</v>
      </c>
      <c r="G316" s="91" t="s">
        <v>74</v>
      </c>
      <c r="H316" s="92">
        <v>30</v>
      </c>
      <c r="I316" s="92">
        <v>0</v>
      </c>
      <c r="J316" s="92">
        <v>0</v>
      </c>
      <c r="K316" s="92">
        <v>10.5</v>
      </c>
      <c r="L316" s="92" t="s">
        <v>75</v>
      </c>
      <c r="M316" s="92" t="s">
        <v>90</v>
      </c>
      <c r="N316" s="92" t="s">
        <v>77</v>
      </c>
      <c r="O316" s="92" t="b">
        <v>1</v>
      </c>
      <c r="P316" s="92"/>
      <c r="Q316" s="92" t="s">
        <v>79</v>
      </c>
      <c r="R316" s="92" t="s">
        <v>80</v>
      </c>
      <c r="S316" s="92" t="b">
        <v>1</v>
      </c>
      <c r="T316" s="100">
        <v>1</v>
      </c>
      <c r="U316" s="100">
        <v>1.8176338210015932E+19</v>
      </c>
      <c r="V316" s="100"/>
    </row>
    <row r="317" spans="4:22" ht="15" customHeight="1">
      <c r="D317" s="98" t="b">
        <v>0</v>
      </c>
      <c r="E317" s="93">
        <v>1</v>
      </c>
      <c r="F317" s="91">
        <v>3</v>
      </c>
      <c r="G317" s="91" t="s">
        <v>74</v>
      </c>
      <c r="H317" s="92">
        <v>16</v>
      </c>
      <c r="I317" s="92">
        <v>0</v>
      </c>
      <c r="J317" s="92">
        <v>0</v>
      </c>
      <c r="K317" s="92">
        <v>8.0500000000000007</v>
      </c>
      <c r="L317" s="92" t="s">
        <v>75</v>
      </c>
      <c r="M317" s="92" t="s">
        <v>76</v>
      </c>
      <c r="N317" s="92" t="s">
        <v>77</v>
      </c>
      <c r="O317" s="92" t="b">
        <v>1</v>
      </c>
      <c r="P317" s="92"/>
      <c r="Q317" s="92" t="s">
        <v>79</v>
      </c>
      <c r="R317" s="92" t="s">
        <v>85</v>
      </c>
      <c r="S317" s="92" t="b">
        <v>1</v>
      </c>
      <c r="T317" s="100">
        <v>1</v>
      </c>
      <c r="U317" s="100">
        <v>6.409411820799489E+18</v>
      </c>
      <c r="V317" s="100"/>
    </row>
    <row r="318" spans="4:22" ht="15" customHeight="1">
      <c r="D318" s="98" t="b">
        <v>0</v>
      </c>
      <c r="E318" s="93">
        <v>0</v>
      </c>
      <c r="F318" s="91">
        <v>2</v>
      </c>
      <c r="G318" s="91" t="s">
        <v>74</v>
      </c>
      <c r="H318" s="92">
        <v>27</v>
      </c>
      <c r="I318" s="92">
        <v>0</v>
      </c>
      <c r="J318" s="92">
        <v>0</v>
      </c>
      <c r="K318" s="92">
        <v>13</v>
      </c>
      <c r="L318" s="92" t="s">
        <v>75</v>
      </c>
      <c r="M318" s="92" t="s">
        <v>90</v>
      </c>
      <c r="N318" s="92" t="s">
        <v>77</v>
      </c>
      <c r="O318" s="92" t="b">
        <v>1</v>
      </c>
      <c r="P318" s="92"/>
      <c r="Q318" s="92" t="s">
        <v>79</v>
      </c>
      <c r="R318" s="92" t="s">
        <v>80</v>
      </c>
      <c r="S318" s="92" t="b">
        <v>1</v>
      </c>
      <c r="T318" s="100">
        <v>1</v>
      </c>
      <c r="U318" s="100">
        <v>1.1128273356353381E+18</v>
      </c>
      <c r="V318" s="100"/>
    </row>
    <row r="319" spans="4:22" ht="15" customHeight="1">
      <c r="D319" s="98" t="b">
        <v>0</v>
      </c>
      <c r="E319" s="93">
        <v>0</v>
      </c>
      <c r="F319" s="91">
        <v>3</v>
      </c>
      <c r="G319" s="91" t="s">
        <v>74</v>
      </c>
      <c r="H319" s="92">
        <v>51</v>
      </c>
      <c r="I319" s="92">
        <v>0</v>
      </c>
      <c r="J319" s="92">
        <v>0</v>
      </c>
      <c r="K319" s="92">
        <v>8.0500000000000007</v>
      </c>
      <c r="L319" s="92" t="s">
        <v>75</v>
      </c>
      <c r="M319" s="92" t="s">
        <v>76</v>
      </c>
      <c r="N319" s="92" t="s">
        <v>77</v>
      </c>
      <c r="O319" s="92" t="b">
        <v>1</v>
      </c>
      <c r="P319" s="92"/>
      <c r="Q319" s="92" t="s">
        <v>79</v>
      </c>
      <c r="R319" s="92" t="s">
        <v>80</v>
      </c>
      <c r="S319" s="92" t="b">
        <v>1</v>
      </c>
      <c r="T319" s="100">
        <v>1</v>
      </c>
      <c r="U319" s="100">
        <v>1.1094575114941485E+19</v>
      </c>
      <c r="V319" s="100"/>
    </row>
    <row r="320" spans="4:22" ht="15" customHeight="1">
      <c r="D320" s="98" t="b">
        <v>0</v>
      </c>
      <c r="E320" s="93">
        <v>0</v>
      </c>
      <c r="F320" s="91">
        <v>3</v>
      </c>
      <c r="G320" s="91" t="s">
        <v>74</v>
      </c>
      <c r="H320" s="92"/>
      <c r="I320" s="92">
        <v>0</v>
      </c>
      <c r="J320" s="92">
        <v>0</v>
      </c>
      <c r="K320" s="92">
        <v>7.8958000000000004</v>
      </c>
      <c r="L320" s="92" t="s">
        <v>75</v>
      </c>
      <c r="M320" s="92" t="s">
        <v>76</v>
      </c>
      <c r="N320" s="92" t="s">
        <v>77</v>
      </c>
      <c r="O320" s="92" t="b">
        <v>1</v>
      </c>
      <c r="P320" s="92"/>
      <c r="Q320" s="92" t="s">
        <v>79</v>
      </c>
      <c r="R320" s="92" t="s">
        <v>80</v>
      </c>
      <c r="S320" s="92" t="b">
        <v>1</v>
      </c>
      <c r="T320" s="100">
        <v>1</v>
      </c>
      <c r="U320" s="100">
        <v>9.9740171854948762E+18</v>
      </c>
      <c r="V320" s="100"/>
    </row>
    <row r="321" spans="4:22" ht="15" customHeight="1">
      <c r="D321" s="98" t="b">
        <v>0</v>
      </c>
      <c r="E321" s="93">
        <v>1</v>
      </c>
      <c r="F321" s="91">
        <v>1</v>
      </c>
      <c r="G321" s="91" t="s">
        <v>74</v>
      </c>
      <c r="H321" s="92">
        <v>38</v>
      </c>
      <c r="I321" s="92">
        <v>1</v>
      </c>
      <c r="J321" s="92">
        <v>0</v>
      </c>
      <c r="K321" s="92">
        <v>90</v>
      </c>
      <c r="L321" s="92" t="s">
        <v>75</v>
      </c>
      <c r="M321" s="92" t="s">
        <v>82</v>
      </c>
      <c r="N321" s="92" t="s">
        <v>77</v>
      </c>
      <c r="O321" s="92" t="b">
        <v>1</v>
      </c>
      <c r="P321" s="92" t="s">
        <v>78</v>
      </c>
      <c r="Q321" s="92" t="s">
        <v>79</v>
      </c>
      <c r="R321" s="92" t="s">
        <v>85</v>
      </c>
      <c r="S321" s="92" t="b">
        <v>0</v>
      </c>
      <c r="T321" s="100">
        <v>0</v>
      </c>
      <c r="U321" s="100">
        <v>7.54529701119714E+18</v>
      </c>
      <c r="V321" s="100"/>
    </row>
    <row r="322" spans="4:22" ht="15" customHeight="1">
      <c r="D322" s="98" t="b">
        <v>0</v>
      </c>
      <c r="E322" s="93">
        <v>0</v>
      </c>
      <c r="F322" s="91">
        <v>3</v>
      </c>
      <c r="G322" s="91" t="s">
        <v>74</v>
      </c>
      <c r="H322" s="92">
        <v>22</v>
      </c>
      <c r="I322" s="92">
        <v>0</v>
      </c>
      <c r="J322" s="92">
        <v>0</v>
      </c>
      <c r="K322" s="92">
        <v>9.35</v>
      </c>
      <c r="L322" s="92" t="s">
        <v>75</v>
      </c>
      <c r="M322" s="92" t="s">
        <v>76</v>
      </c>
      <c r="N322" s="92" t="s">
        <v>77</v>
      </c>
      <c r="O322" s="92" t="b">
        <v>1</v>
      </c>
      <c r="P322" s="92"/>
      <c r="Q322" s="92" t="s">
        <v>79</v>
      </c>
      <c r="R322" s="92" t="s">
        <v>80</v>
      </c>
      <c r="S322" s="92" t="b">
        <v>1</v>
      </c>
      <c r="T322" s="100">
        <v>1</v>
      </c>
      <c r="U322" s="100">
        <v>1.7644507531621452E+19</v>
      </c>
      <c r="V322" s="100"/>
    </row>
    <row r="323" spans="4:22" ht="15" customHeight="1">
      <c r="D323" s="98" t="b">
        <v>0</v>
      </c>
      <c r="E323" s="93">
        <v>1</v>
      </c>
      <c r="F323" s="91">
        <v>2</v>
      </c>
      <c r="G323" s="91" t="s">
        <v>74</v>
      </c>
      <c r="H323" s="92">
        <v>19</v>
      </c>
      <c r="I323" s="92">
        <v>0</v>
      </c>
      <c r="J323" s="92">
        <v>0</v>
      </c>
      <c r="K323" s="92">
        <v>10.5</v>
      </c>
      <c r="L323" s="92" t="s">
        <v>75</v>
      </c>
      <c r="M323" s="92" t="s">
        <v>90</v>
      </c>
      <c r="N323" s="92" t="s">
        <v>77</v>
      </c>
      <c r="O323" s="92" t="b">
        <v>1</v>
      </c>
      <c r="P323" s="92"/>
      <c r="Q323" s="92" t="s">
        <v>79</v>
      </c>
      <c r="R323" s="92" t="s">
        <v>85</v>
      </c>
      <c r="S323" s="92" t="b">
        <v>1</v>
      </c>
      <c r="T323" s="100">
        <v>1</v>
      </c>
      <c r="U323" s="100">
        <v>2.1296693928176863E+18</v>
      </c>
      <c r="V323" s="100"/>
    </row>
    <row r="324" spans="4:22" ht="15" customHeight="1">
      <c r="D324" s="98" t="b">
        <v>0</v>
      </c>
      <c r="E324" s="93">
        <v>0</v>
      </c>
      <c r="F324" s="91">
        <v>2</v>
      </c>
      <c r="G324" s="91" t="s">
        <v>74</v>
      </c>
      <c r="H324" s="92">
        <v>18</v>
      </c>
      <c r="I324" s="92">
        <v>0</v>
      </c>
      <c r="J324" s="92">
        <v>0</v>
      </c>
      <c r="K324" s="92">
        <v>13</v>
      </c>
      <c r="L324" s="92" t="s">
        <v>75</v>
      </c>
      <c r="M324" s="92" t="s">
        <v>90</v>
      </c>
      <c r="N324" s="92" t="s">
        <v>77</v>
      </c>
      <c r="O324" s="92" t="b">
        <v>1</v>
      </c>
      <c r="P324" s="92"/>
      <c r="Q324" s="92" t="s">
        <v>79</v>
      </c>
      <c r="R324" s="92" t="s">
        <v>80</v>
      </c>
      <c r="S324" s="92" t="b">
        <v>1</v>
      </c>
      <c r="T324" s="100">
        <v>1</v>
      </c>
      <c r="U324" s="100">
        <v>3.4635791808621844E+18</v>
      </c>
      <c r="V324" s="100"/>
    </row>
    <row r="325" spans="4:22" ht="15" customHeight="1">
      <c r="D325" s="98" t="b">
        <v>0</v>
      </c>
      <c r="E325" s="93">
        <v>0</v>
      </c>
      <c r="F325" s="91">
        <v>3</v>
      </c>
      <c r="G325" s="91" t="s">
        <v>81</v>
      </c>
      <c r="H325" s="92"/>
      <c r="I325" s="92">
        <v>3</v>
      </c>
      <c r="J325" s="92">
        <v>1</v>
      </c>
      <c r="K325" s="92">
        <v>25.466699999999999</v>
      </c>
      <c r="L325" s="92" t="s">
        <v>75</v>
      </c>
      <c r="M325" s="92" t="s">
        <v>76</v>
      </c>
      <c r="N325" s="92" t="s">
        <v>83</v>
      </c>
      <c r="O325" s="92" t="b">
        <v>0</v>
      </c>
      <c r="P325" s="92"/>
      <c r="Q325" s="92" t="s">
        <v>79</v>
      </c>
      <c r="R325" s="92" t="s">
        <v>80</v>
      </c>
      <c r="S325" s="92" t="b">
        <v>0</v>
      </c>
      <c r="T325" s="100">
        <v>1</v>
      </c>
      <c r="U325" s="100">
        <v>2.629625602031401E+18</v>
      </c>
      <c r="V325" s="100"/>
    </row>
    <row r="326" spans="4:22" ht="15" customHeight="1">
      <c r="D326" s="98" t="b">
        <v>0</v>
      </c>
      <c r="E326" s="93">
        <v>1</v>
      </c>
      <c r="F326" s="91">
        <v>1</v>
      </c>
      <c r="G326" s="91" t="s">
        <v>81</v>
      </c>
      <c r="H326" s="92">
        <v>35</v>
      </c>
      <c r="I326" s="92">
        <v>1</v>
      </c>
      <c r="J326" s="92">
        <v>0</v>
      </c>
      <c r="K326" s="92">
        <v>83.474999999999994</v>
      </c>
      <c r="L326" s="92" t="s">
        <v>75</v>
      </c>
      <c r="M326" s="92" t="s">
        <v>82</v>
      </c>
      <c r="N326" s="92" t="s">
        <v>83</v>
      </c>
      <c r="O326" s="92" t="b">
        <v>0</v>
      </c>
      <c r="P326" s="92" t="s">
        <v>78</v>
      </c>
      <c r="Q326" s="92" t="s">
        <v>79</v>
      </c>
      <c r="R326" s="92" t="s">
        <v>85</v>
      </c>
      <c r="S326" s="92" t="b">
        <v>0</v>
      </c>
      <c r="T326" s="100">
        <v>0</v>
      </c>
      <c r="U326" s="100">
        <v>2.3100837958384927E+18</v>
      </c>
      <c r="V326" s="100"/>
    </row>
    <row r="327" spans="4:22" ht="15" customHeight="1">
      <c r="D327" s="98" t="b">
        <v>0</v>
      </c>
      <c r="E327" s="93">
        <v>0</v>
      </c>
      <c r="F327" s="91">
        <v>3</v>
      </c>
      <c r="G327" s="91" t="s">
        <v>74</v>
      </c>
      <c r="H327" s="92">
        <v>29</v>
      </c>
      <c r="I327" s="92">
        <v>0</v>
      </c>
      <c r="J327" s="92">
        <v>0</v>
      </c>
      <c r="K327" s="92">
        <v>7.7750000000000004</v>
      </c>
      <c r="L327" s="92" t="s">
        <v>75</v>
      </c>
      <c r="M327" s="92" t="s">
        <v>76</v>
      </c>
      <c r="N327" s="92" t="s">
        <v>77</v>
      </c>
      <c r="O327" s="92" t="b">
        <v>1</v>
      </c>
      <c r="P327" s="92"/>
      <c r="Q327" s="92" t="s">
        <v>79</v>
      </c>
      <c r="R327" s="92" t="s">
        <v>80</v>
      </c>
      <c r="S327" s="92" t="b">
        <v>1</v>
      </c>
      <c r="T327" s="100">
        <v>1</v>
      </c>
      <c r="U327" s="100">
        <v>3.5524721739087273E+18</v>
      </c>
      <c r="V327" s="100"/>
    </row>
    <row r="328" spans="4:22" ht="15" customHeight="1">
      <c r="D328" s="98" t="b">
        <v>0</v>
      </c>
      <c r="E328" s="93">
        <v>0</v>
      </c>
      <c r="F328" s="91">
        <v>2</v>
      </c>
      <c r="G328" s="91" t="s">
        <v>74</v>
      </c>
      <c r="H328" s="92">
        <v>59</v>
      </c>
      <c r="I328" s="92">
        <v>0</v>
      </c>
      <c r="J328" s="92">
        <v>0</v>
      </c>
      <c r="K328" s="92">
        <v>13.5</v>
      </c>
      <c r="L328" s="92" t="s">
        <v>75</v>
      </c>
      <c r="M328" s="92" t="s">
        <v>90</v>
      </c>
      <c r="N328" s="92" t="s">
        <v>77</v>
      </c>
      <c r="O328" s="92" t="b">
        <v>1</v>
      </c>
      <c r="P328" s="92"/>
      <c r="Q328" s="92" t="s">
        <v>79</v>
      </c>
      <c r="R328" s="92" t="s">
        <v>80</v>
      </c>
      <c r="S328" s="92" t="b">
        <v>1</v>
      </c>
      <c r="T328" s="100">
        <v>1</v>
      </c>
      <c r="U328" s="100">
        <v>7.6719214591115899E+18</v>
      </c>
      <c r="V328" s="100"/>
    </row>
    <row r="329" spans="4:22" ht="15" customHeight="1">
      <c r="D329" s="98" t="b">
        <v>0</v>
      </c>
      <c r="E329" s="93">
        <v>1</v>
      </c>
      <c r="F329" s="91">
        <v>3</v>
      </c>
      <c r="G329" s="91" t="s">
        <v>81</v>
      </c>
      <c r="H329" s="92">
        <v>5</v>
      </c>
      <c r="I329" s="92">
        <v>4</v>
      </c>
      <c r="J329" s="92">
        <v>2</v>
      </c>
      <c r="K329" s="92">
        <v>31.387499999999999</v>
      </c>
      <c r="L329" s="92" t="s">
        <v>75</v>
      </c>
      <c r="M329" s="92" t="s">
        <v>76</v>
      </c>
      <c r="N329" s="92" t="s">
        <v>89</v>
      </c>
      <c r="O329" s="92" t="b">
        <v>0</v>
      </c>
      <c r="P329" s="92"/>
      <c r="Q329" s="92" t="s">
        <v>79</v>
      </c>
      <c r="R329" s="92" t="s">
        <v>85</v>
      </c>
      <c r="S329" s="92" t="b">
        <v>0</v>
      </c>
      <c r="T329" s="100">
        <v>1</v>
      </c>
      <c r="U329" s="100">
        <v>2.7266368929697004E+18</v>
      </c>
      <c r="V329" s="100"/>
    </row>
    <row r="330" spans="4:22" ht="15" customHeight="1">
      <c r="D330" s="98" t="b">
        <v>0</v>
      </c>
      <c r="E330" s="93">
        <v>0</v>
      </c>
      <c r="F330" s="91">
        <v>2</v>
      </c>
      <c r="G330" s="91" t="s">
        <v>74</v>
      </c>
      <c r="H330" s="92">
        <v>24</v>
      </c>
      <c r="I330" s="92">
        <v>0</v>
      </c>
      <c r="J330" s="92">
        <v>0</v>
      </c>
      <c r="K330" s="92">
        <v>10.5</v>
      </c>
      <c r="L330" s="92" t="s">
        <v>75</v>
      </c>
      <c r="M330" s="92" t="s">
        <v>90</v>
      </c>
      <c r="N330" s="92" t="s">
        <v>77</v>
      </c>
      <c r="O330" s="92" t="b">
        <v>1</v>
      </c>
      <c r="P330" s="92"/>
      <c r="Q330" s="92" t="s">
        <v>79</v>
      </c>
      <c r="R330" s="92" t="s">
        <v>80</v>
      </c>
      <c r="S330" s="92" t="b">
        <v>1</v>
      </c>
      <c r="T330" s="100">
        <v>1</v>
      </c>
      <c r="U330" s="100">
        <v>1.1591184495655959E+18</v>
      </c>
      <c r="V330" s="100"/>
    </row>
    <row r="331" spans="4:22" ht="15" customHeight="1">
      <c r="D331" s="98" t="b">
        <v>0</v>
      </c>
      <c r="E331" s="93">
        <v>0</v>
      </c>
      <c r="F331" s="91">
        <v>3</v>
      </c>
      <c r="G331" s="91" t="s">
        <v>81</v>
      </c>
      <c r="H331" s="92"/>
      <c r="I331" s="92">
        <v>0</v>
      </c>
      <c r="J331" s="92">
        <v>0</v>
      </c>
      <c r="K331" s="92">
        <v>7.55</v>
      </c>
      <c r="L331" s="92" t="s">
        <v>75</v>
      </c>
      <c r="M331" s="92" t="s">
        <v>76</v>
      </c>
      <c r="N331" s="92" t="s">
        <v>83</v>
      </c>
      <c r="O331" s="92" t="b">
        <v>0</v>
      </c>
      <c r="P331" s="92"/>
      <c r="Q331" s="92" t="s">
        <v>79</v>
      </c>
      <c r="R331" s="92" t="s">
        <v>80</v>
      </c>
      <c r="S331" s="92" t="b">
        <v>1</v>
      </c>
      <c r="T331" s="100">
        <v>1</v>
      </c>
      <c r="U331" s="100">
        <v>8.3810137474175252E+18</v>
      </c>
      <c r="V331" s="100"/>
    </row>
    <row r="332" spans="4:22" ht="15" customHeight="1">
      <c r="D332" s="98" t="b">
        <v>0</v>
      </c>
      <c r="E332" s="93">
        <v>0</v>
      </c>
      <c r="F332" s="91">
        <v>2</v>
      </c>
      <c r="G332" s="91" t="s">
        <v>74</v>
      </c>
      <c r="H332" s="92">
        <v>44</v>
      </c>
      <c r="I332" s="92">
        <v>1</v>
      </c>
      <c r="J332" s="92">
        <v>0</v>
      </c>
      <c r="K332" s="92">
        <v>26</v>
      </c>
      <c r="L332" s="92" t="s">
        <v>75</v>
      </c>
      <c r="M332" s="92" t="s">
        <v>90</v>
      </c>
      <c r="N332" s="92" t="s">
        <v>77</v>
      </c>
      <c r="O332" s="92" t="b">
        <v>1</v>
      </c>
      <c r="P332" s="92"/>
      <c r="Q332" s="92" t="s">
        <v>79</v>
      </c>
      <c r="R332" s="92" t="s">
        <v>80</v>
      </c>
      <c r="S332" s="92" t="b">
        <v>0</v>
      </c>
      <c r="T332" s="100">
        <v>1</v>
      </c>
      <c r="U332" s="100">
        <v>1.7027284251499319E+19</v>
      </c>
      <c r="V332" s="100"/>
    </row>
    <row r="333" spans="4:22" ht="15" customHeight="1">
      <c r="D333" s="98" t="b">
        <v>0</v>
      </c>
      <c r="E333" s="93">
        <v>1</v>
      </c>
      <c r="F333" s="91">
        <v>2</v>
      </c>
      <c r="G333" s="91" t="s">
        <v>81</v>
      </c>
      <c r="H333" s="92">
        <v>8</v>
      </c>
      <c r="I333" s="92">
        <v>0</v>
      </c>
      <c r="J333" s="92">
        <v>2</v>
      </c>
      <c r="K333" s="92">
        <v>26.25</v>
      </c>
      <c r="L333" s="92" t="s">
        <v>75</v>
      </c>
      <c r="M333" s="92" t="s">
        <v>90</v>
      </c>
      <c r="N333" s="92" t="s">
        <v>89</v>
      </c>
      <c r="O333" s="92" t="b">
        <v>0</v>
      </c>
      <c r="P333" s="92"/>
      <c r="Q333" s="92" t="s">
        <v>79</v>
      </c>
      <c r="R333" s="92" t="s">
        <v>85</v>
      </c>
      <c r="S333" s="92" t="b">
        <v>0</v>
      </c>
      <c r="T333" s="100">
        <v>1</v>
      </c>
      <c r="U333" s="100">
        <v>5.796555493865685E+18</v>
      </c>
      <c r="V333" s="100"/>
    </row>
    <row r="334" spans="4:22" ht="15" customHeight="1">
      <c r="D334" s="98" t="b">
        <v>0</v>
      </c>
      <c r="E334" s="93">
        <v>0</v>
      </c>
      <c r="F334" s="91">
        <v>2</v>
      </c>
      <c r="G334" s="91" t="s">
        <v>74</v>
      </c>
      <c r="H334" s="92">
        <v>19</v>
      </c>
      <c r="I334" s="92">
        <v>0</v>
      </c>
      <c r="J334" s="92">
        <v>0</v>
      </c>
      <c r="K334" s="92">
        <v>10.5</v>
      </c>
      <c r="L334" s="92" t="s">
        <v>75</v>
      </c>
      <c r="M334" s="92" t="s">
        <v>90</v>
      </c>
      <c r="N334" s="92" t="s">
        <v>77</v>
      </c>
      <c r="O334" s="92" t="b">
        <v>1</v>
      </c>
      <c r="P334" s="92"/>
      <c r="Q334" s="92" t="s">
        <v>79</v>
      </c>
      <c r="R334" s="92" t="s">
        <v>80</v>
      </c>
      <c r="S334" s="92" t="b">
        <v>1</v>
      </c>
      <c r="T334" s="100">
        <v>1</v>
      </c>
      <c r="U334" s="100">
        <v>1.4438565097609787E+19</v>
      </c>
      <c r="V334" s="100"/>
    </row>
    <row r="335" spans="4:22" ht="15" customHeight="1">
      <c r="D335" s="98" t="b">
        <v>0</v>
      </c>
      <c r="E335" s="93">
        <v>0</v>
      </c>
      <c r="F335" s="91">
        <v>2</v>
      </c>
      <c r="G335" s="91" t="s">
        <v>74</v>
      </c>
      <c r="H335" s="92">
        <v>33</v>
      </c>
      <c r="I335" s="92">
        <v>0</v>
      </c>
      <c r="J335" s="92">
        <v>0</v>
      </c>
      <c r="K335" s="92">
        <v>12.275</v>
      </c>
      <c r="L335" s="92" t="s">
        <v>75</v>
      </c>
      <c r="M335" s="92" t="s">
        <v>90</v>
      </c>
      <c r="N335" s="92" t="s">
        <v>77</v>
      </c>
      <c r="O335" s="92" t="b">
        <v>1</v>
      </c>
      <c r="P335" s="92"/>
      <c r="Q335" s="92" t="s">
        <v>79</v>
      </c>
      <c r="R335" s="92" t="s">
        <v>80</v>
      </c>
      <c r="S335" s="92" t="b">
        <v>1</v>
      </c>
      <c r="T335" s="100">
        <v>1</v>
      </c>
      <c r="U335" s="100">
        <v>5.9632612866973194E+18</v>
      </c>
      <c r="V335" s="100"/>
    </row>
    <row r="336" spans="4:22" ht="15" customHeight="1">
      <c r="D336" s="98" t="b">
        <v>0</v>
      </c>
      <c r="E336" s="93">
        <v>0</v>
      </c>
      <c r="F336" s="91">
        <v>3</v>
      </c>
      <c r="G336" s="91" t="s">
        <v>81</v>
      </c>
      <c r="H336" s="92"/>
      <c r="I336" s="92">
        <v>1</v>
      </c>
      <c r="J336" s="92">
        <v>0</v>
      </c>
      <c r="K336" s="92">
        <v>14.4542</v>
      </c>
      <c r="L336" s="92" t="s">
        <v>78</v>
      </c>
      <c r="M336" s="92" t="s">
        <v>76</v>
      </c>
      <c r="N336" s="92" t="s">
        <v>83</v>
      </c>
      <c r="O336" s="92" t="b">
        <v>0</v>
      </c>
      <c r="P336" s="92"/>
      <c r="Q336" s="92" t="s">
        <v>84</v>
      </c>
      <c r="R336" s="92" t="s">
        <v>80</v>
      </c>
      <c r="S336" s="92" t="b">
        <v>0</v>
      </c>
      <c r="T336" s="100">
        <v>1</v>
      </c>
      <c r="U336" s="100">
        <v>1.1559561393344539E+19</v>
      </c>
      <c r="V336" s="100"/>
    </row>
    <row r="337" spans="4:22" ht="15" customHeight="1">
      <c r="D337" s="98" t="b">
        <v>0</v>
      </c>
      <c r="E337" s="93">
        <v>1</v>
      </c>
      <c r="F337" s="91">
        <v>3</v>
      </c>
      <c r="G337" s="91" t="s">
        <v>81</v>
      </c>
      <c r="H337" s="92"/>
      <c r="I337" s="92">
        <v>1</v>
      </c>
      <c r="J337" s="92">
        <v>0</v>
      </c>
      <c r="K337" s="92">
        <v>15.5</v>
      </c>
      <c r="L337" s="92" t="s">
        <v>86</v>
      </c>
      <c r="M337" s="92" t="s">
        <v>76</v>
      </c>
      <c r="N337" s="92" t="s">
        <v>83</v>
      </c>
      <c r="O337" s="92" t="b">
        <v>0</v>
      </c>
      <c r="P337" s="92"/>
      <c r="Q337" s="92" t="s">
        <v>87</v>
      </c>
      <c r="R337" s="92" t="s">
        <v>85</v>
      </c>
      <c r="S337" s="92" t="b">
        <v>0</v>
      </c>
      <c r="T337" s="100">
        <v>1</v>
      </c>
      <c r="U337" s="100">
        <v>3.2425118733691351E+18</v>
      </c>
      <c r="V337" s="100"/>
    </row>
    <row r="338" spans="4:22" ht="15" customHeight="1">
      <c r="D338" s="98" t="b">
        <v>0</v>
      </c>
      <c r="E338" s="93">
        <v>0</v>
      </c>
      <c r="F338" s="91">
        <v>2</v>
      </c>
      <c r="G338" s="91" t="s">
        <v>74</v>
      </c>
      <c r="H338" s="92">
        <v>29</v>
      </c>
      <c r="I338" s="92">
        <v>0</v>
      </c>
      <c r="J338" s="92">
        <v>0</v>
      </c>
      <c r="K338" s="92">
        <v>10.5</v>
      </c>
      <c r="L338" s="92" t="s">
        <v>75</v>
      </c>
      <c r="M338" s="92" t="s">
        <v>90</v>
      </c>
      <c r="N338" s="92" t="s">
        <v>77</v>
      </c>
      <c r="O338" s="92" t="b">
        <v>1</v>
      </c>
      <c r="P338" s="92"/>
      <c r="Q338" s="92" t="s">
        <v>79</v>
      </c>
      <c r="R338" s="92" t="s">
        <v>80</v>
      </c>
      <c r="S338" s="92" t="b">
        <v>1</v>
      </c>
      <c r="T338" s="100">
        <v>1</v>
      </c>
      <c r="U338" s="100">
        <v>3.3501489215960146E+18</v>
      </c>
      <c r="V338" s="100"/>
    </row>
    <row r="339" spans="4:22" ht="15" customHeight="1">
      <c r="D339" s="98" t="b">
        <v>0</v>
      </c>
      <c r="E339" s="93">
        <v>0</v>
      </c>
      <c r="F339" s="91">
        <v>3</v>
      </c>
      <c r="G339" s="91" t="s">
        <v>74</v>
      </c>
      <c r="H339" s="92">
        <v>22</v>
      </c>
      <c r="I339" s="92">
        <v>0</v>
      </c>
      <c r="J339" s="92">
        <v>0</v>
      </c>
      <c r="K339" s="92">
        <v>7.125</v>
      </c>
      <c r="L339" s="92" t="s">
        <v>75</v>
      </c>
      <c r="M339" s="92" t="s">
        <v>76</v>
      </c>
      <c r="N339" s="92" t="s">
        <v>77</v>
      </c>
      <c r="O339" s="92" t="b">
        <v>1</v>
      </c>
      <c r="P339" s="92"/>
      <c r="Q339" s="92" t="s">
        <v>79</v>
      </c>
      <c r="R339" s="92" t="s">
        <v>80</v>
      </c>
      <c r="S339" s="92" t="b">
        <v>1</v>
      </c>
      <c r="T339" s="100">
        <v>1</v>
      </c>
      <c r="U339" s="100">
        <v>1.5651912505025866E+19</v>
      </c>
      <c r="V339" s="100"/>
    </row>
    <row r="340" spans="4:22" ht="15" customHeight="1">
      <c r="D340" s="98" t="b">
        <v>0</v>
      </c>
      <c r="E340" s="93">
        <v>0</v>
      </c>
      <c r="F340" s="91">
        <v>3</v>
      </c>
      <c r="G340" s="91" t="s">
        <v>74</v>
      </c>
      <c r="H340" s="92">
        <v>30</v>
      </c>
      <c r="I340" s="92">
        <v>0</v>
      </c>
      <c r="J340" s="92">
        <v>0</v>
      </c>
      <c r="K340" s="92">
        <v>7.2249999999999996</v>
      </c>
      <c r="L340" s="92" t="s">
        <v>78</v>
      </c>
      <c r="M340" s="92" t="s">
        <v>76</v>
      </c>
      <c r="N340" s="92" t="s">
        <v>77</v>
      </c>
      <c r="O340" s="92" t="b">
        <v>1</v>
      </c>
      <c r="P340" s="92"/>
      <c r="Q340" s="92" t="s">
        <v>84</v>
      </c>
      <c r="R340" s="92" t="s">
        <v>80</v>
      </c>
      <c r="S340" s="92" t="b">
        <v>1</v>
      </c>
      <c r="T340" s="100">
        <v>1</v>
      </c>
      <c r="U340" s="100">
        <v>8.9227538203214899E+18</v>
      </c>
      <c r="V340" s="100"/>
    </row>
    <row r="341" spans="4:22" ht="15" customHeight="1">
      <c r="D341" s="98" t="b">
        <v>0</v>
      </c>
      <c r="E341" s="93">
        <v>0</v>
      </c>
      <c r="F341" s="91">
        <v>1</v>
      </c>
      <c r="G341" s="91" t="s">
        <v>74</v>
      </c>
      <c r="H341" s="92">
        <v>44</v>
      </c>
      <c r="I341" s="92">
        <v>2</v>
      </c>
      <c r="J341" s="92">
        <v>0</v>
      </c>
      <c r="K341" s="92">
        <v>90</v>
      </c>
      <c r="L341" s="92" t="s">
        <v>86</v>
      </c>
      <c r="M341" s="92" t="s">
        <v>82</v>
      </c>
      <c r="N341" s="92" t="s">
        <v>77</v>
      </c>
      <c r="O341" s="92" t="b">
        <v>1</v>
      </c>
      <c r="P341" s="92" t="s">
        <v>78</v>
      </c>
      <c r="Q341" s="92" t="s">
        <v>87</v>
      </c>
      <c r="R341" s="92" t="s">
        <v>80</v>
      </c>
      <c r="S341" s="92" t="b">
        <v>0</v>
      </c>
      <c r="T341" s="100">
        <v>0</v>
      </c>
      <c r="U341" s="100">
        <v>1.0399028855002151E+19</v>
      </c>
      <c r="V341" s="100"/>
    </row>
    <row r="342" spans="4:22" ht="15" customHeight="1">
      <c r="D342" s="98" t="b">
        <v>0</v>
      </c>
      <c r="E342" s="93">
        <v>0</v>
      </c>
      <c r="F342" s="91">
        <v>3</v>
      </c>
      <c r="G342" s="91" t="s">
        <v>81</v>
      </c>
      <c r="H342" s="92">
        <v>25</v>
      </c>
      <c r="I342" s="92">
        <v>0</v>
      </c>
      <c r="J342" s="92">
        <v>0</v>
      </c>
      <c r="K342" s="92">
        <v>7.7750000000000004</v>
      </c>
      <c r="L342" s="92" t="s">
        <v>75</v>
      </c>
      <c r="M342" s="92" t="s">
        <v>76</v>
      </c>
      <c r="N342" s="92" t="s">
        <v>83</v>
      </c>
      <c r="O342" s="92" t="b">
        <v>0</v>
      </c>
      <c r="P342" s="92"/>
      <c r="Q342" s="92" t="s">
        <v>79</v>
      </c>
      <c r="R342" s="92" t="s">
        <v>80</v>
      </c>
      <c r="S342" s="92" t="b">
        <v>1</v>
      </c>
      <c r="T342" s="100">
        <v>1</v>
      </c>
      <c r="U342" s="100">
        <v>1.4329120185461434E+19</v>
      </c>
      <c r="V342" s="100"/>
    </row>
    <row r="343" spans="4:22" ht="15" customHeight="1">
      <c r="D343" s="98" t="b">
        <v>0</v>
      </c>
      <c r="E343" s="93">
        <v>1</v>
      </c>
      <c r="F343" s="91">
        <v>2</v>
      </c>
      <c r="G343" s="91" t="s">
        <v>81</v>
      </c>
      <c r="H343" s="92">
        <v>24</v>
      </c>
      <c r="I343" s="92">
        <v>0</v>
      </c>
      <c r="J343" s="92">
        <v>2</v>
      </c>
      <c r="K343" s="92">
        <v>14.5</v>
      </c>
      <c r="L343" s="92" t="s">
        <v>75</v>
      </c>
      <c r="M343" s="92" t="s">
        <v>90</v>
      </c>
      <c r="N343" s="92" t="s">
        <v>83</v>
      </c>
      <c r="O343" s="92" t="b">
        <v>0</v>
      </c>
      <c r="P343" s="92"/>
      <c r="Q343" s="92" t="s">
        <v>79</v>
      </c>
      <c r="R343" s="92" t="s">
        <v>85</v>
      </c>
      <c r="S343" s="92" t="b">
        <v>0</v>
      </c>
      <c r="T343" s="100">
        <v>1</v>
      </c>
      <c r="U343" s="100">
        <v>9.1018988752541942E+18</v>
      </c>
      <c r="V343" s="100"/>
    </row>
    <row r="344" spans="4:22" ht="15" customHeight="1">
      <c r="D344" s="98" t="b">
        <v>0</v>
      </c>
      <c r="E344" s="93">
        <v>1</v>
      </c>
      <c r="F344" s="91">
        <v>1</v>
      </c>
      <c r="G344" s="91" t="s">
        <v>74</v>
      </c>
      <c r="H344" s="92">
        <v>37</v>
      </c>
      <c r="I344" s="92">
        <v>1</v>
      </c>
      <c r="J344" s="92">
        <v>1</v>
      </c>
      <c r="K344" s="92">
        <v>52.554200000000002</v>
      </c>
      <c r="L344" s="92" t="s">
        <v>75</v>
      </c>
      <c r="M344" s="92" t="s">
        <v>82</v>
      </c>
      <c r="N344" s="92" t="s">
        <v>77</v>
      </c>
      <c r="O344" s="92" t="b">
        <v>1</v>
      </c>
      <c r="P344" s="92" t="s">
        <v>92</v>
      </c>
      <c r="Q344" s="92" t="s">
        <v>79</v>
      </c>
      <c r="R344" s="92" t="s">
        <v>85</v>
      </c>
      <c r="S344" s="92" t="b">
        <v>0</v>
      </c>
      <c r="T344" s="100">
        <v>0</v>
      </c>
      <c r="U344" s="100">
        <v>9.3142915952853484E+18</v>
      </c>
      <c r="V344" s="100"/>
    </row>
    <row r="345" spans="4:22" ht="15" customHeight="1">
      <c r="D345" s="98" t="b">
        <v>0</v>
      </c>
      <c r="E345" s="93">
        <v>0</v>
      </c>
      <c r="F345" s="91">
        <v>2</v>
      </c>
      <c r="G345" s="91" t="s">
        <v>74</v>
      </c>
      <c r="H345" s="92">
        <v>54</v>
      </c>
      <c r="I345" s="92">
        <v>1</v>
      </c>
      <c r="J345" s="92">
        <v>0</v>
      </c>
      <c r="K345" s="92">
        <v>26</v>
      </c>
      <c r="L345" s="92" t="s">
        <v>75</v>
      </c>
      <c r="M345" s="92" t="s">
        <v>90</v>
      </c>
      <c r="N345" s="92" t="s">
        <v>77</v>
      </c>
      <c r="O345" s="92" t="b">
        <v>1</v>
      </c>
      <c r="P345" s="92"/>
      <c r="Q345" s="92" t="s">
        <v>79</v>
      </c>
      <c r="R345" s="92" t="s">
        <v>80</v>
      </c>
      <c r="S345" s="92" t="b">
        <v>0</v>
      </c>
      <c r="T345" s="100">
        <v>1</v>
      </c>
      <c r="U345" s="100">
        <v>1.1535635863027689E+18</v>
      </c>
      <c r="V345" s="100"/>
    </row>
    <row r="346" spans="4:22" ht="15" customHeight="1">
      <c r="D346" s="98" t="b">
        <v>0</v>
      </c>
      <c r="E346" s="93">
        <v>0</v>
      </c>
      <c r="F346" s="91">
        <v>3</v>
      </c>
      <c r="G346" s="91" t="s">
        <v>74</v>
      </c>
      <c r="H346" s="92"/>
      <c r="I346" s="92">
        <v>0</v>
      </c>
      <c r="J346" s="92">
        <v>0</v>
      </c>
      <c r="K346" s="92">
        <v>7.25</v>
      </c>
      <c r="L346" s="92" t="s">
        <v>75</v>
      </c>
      <c r="M346" s="92" t="s">
        <v>76</v>
      </c>
      <c r="N346" s="92" t="s">
        <v>77</v>
      </c>
      <c r="O346" s="92" t="b">
        <v>1</v>
      </c>
      <c r="P346" s="92"/>
      <c r="Q346" s="92" t="s">
        <v>79</v>
      </c>
      <c r="R346" s="92" t="s">
        <v>80</v>
      </c>
      <c r="S346" s="92" t="b">
        <v>1</v>
      </c>
      <c r="T346" s="100">
        <v>1</v>
      </c>
      <c r="U346" s="100">
        <v>7.721722907412951E+18</v>
      </c>
      <c r="V346" s="100"/>
    </row>
    <row r="347" spans="4:22" ht="15" customHeight="1">
      <c r="D347" s="98" t="b">
        <v>0</v>
      </c>
      <c r="E347" s="93">
        <v>0</v>
      </c>
      <c r="F347" s="91">
        <v>3</v>
      </c>
      <c r="G347" s="91" t="s">
        <v>81</v>
      </c>
      <c r="H347" s="92">
        <v>29</v>
      </c>
      <c r="I347" s="92">
        <v>1</v>
      </c>
      <c r="J347" s="92">
        <v>1</v>
      </c>
      <c r="K347" s="92">
        <v>10.4625</v>
      </c>
      <c r="L347" s="92" t="s">
        <v>75</v>
      </c>
      <c r="M347" s="92" t="s">
        <v>76</v>
      </c>
      <c r="N347" s="92" t="s">
        <v>83</v>
      </c>
      <c r="O347" s="92" t="b">
        <v>0</v>
      </c>
      <c r="P347" s="92" t="s">
        <v>91</v>
      </c>
      <c r="Q347" s="92" t="s">
        <v>79</v>
      </c>
      <c r="R347" s="92" t="s">
        <v>80</v>
      </c>
      <c r="S347" s="92" t="b">
        <v>0</v>
      </c>
      <c r="T347" s="100">
        <v>0</v>
      </c>
      <c r="U347" s="100">
        <v>3.1889427334628936E+18</v>
      </c>
      <c r="V347" s="100"/>
    </row>
    <row r="348" spans="4:22" ht="15" customHeight="1">
      <c r="D348" s="98" t="b">
        <v>0</v>
      </c>
      <c r="E348" s="93">
        <v>0</v>
      </c>
      <c r="F348" s="91">
        <v>1</v>
      </c>
      <c r="G348" s="91" t="s">
        <v>74</v>
      </c>
      <c r="H348" s="92">
        <v>62</v>
      </c>
      <c r="I348" s="92">
        <v>0</v>
      </c>
      <c r="J348" s="92">
        <v>0</v>
      </c>
      <c r="K348" s="92">
        <v>26.55</v>
      </c>
      <c r="L348" s="92" t="s">
        <v>75</v>
      </c>
      <c r="M348" s="92" t="s">
        <v>82</v>
      </c>
      <c r="N348" s="92" t="s">
        <v>77</v>
      </c>
      <c r="O348" s="92" t="b">
        <v>1</v>
      </c>
      <c r="P348" s="92" t="s">
        <v>78</v>
      </c>
      <c r="Q348" s="92" t="s">
        <v>79</v>
      </c>
      <c r="R348" s="92" t="s">
        <v>80</v>
      </c>
      <c r="S348" s="92" t="b">
        <v>1</v>
      </c>
      <c r="T348" s="100">
        <v>0</v>
      </c>
      <c r="U348" s="100">
        <v>7.8111623233379256E+18</v>
      </c>
      <c r="V348" s="100"/>
    </row>
    <row r="349" spans="4:22" ht="15" customHeight="1">
      <c r="D349" s="98" t="b">
        <v>0</v>
      </c>
      <c r="E349" s="93">
        <v>0</v>
      </c>
      <c r="F349" s="91">
        <v>3</v>
      </c>
      <c r="G349" s="91" t="s">
        <v>74</v>
      </c>
      <c r="H349" s="92">
        <v>30</v>
      </c>
      <c r="I349" s="92">
        <v>1</v>
      </c>
      <c r="J349" s="92">
        <v>0</v>
      </c>
      <c r="K349" s="92">
        <v>16.100000000000001</v>
      </c>
      <c r="L349" s="92" t="s">
        <v>75</v>
      </c>
      <c r="M349" s="92" t="s">
        <v>76</v>
      </c>
      <c r="N349" s="92" t="s">
        <v>77</v>
      </c>
      <c r="O349" s="92" t="b">
        <v>1</v>
      </c>
      <c r="P349" s="92"/>
      <c r="Q349" s="92" t="s">
        <v>79</v>
      </c>
      <c r="R349" s="92" t="s">
        <v>80</v>
      </c>
      <c r="S349" s="92" t="b">
        <v>0</v>
      </c>
      <c r="T349" s="100">
        <v>1</v>
      </c>
      <c r="U349" s="100">
        <v>1.3030086628518304E+19</v>
      </c>
      <c r="V349" s="100"/>
    </row>
    <row r="350" spans="4:22" ht="15" customHeight="1">
      <c r="D350" s="98" t="b">
        <v>0</v>
      </c>
      <c r="E350" s="93">
        <v>0</v>
      </c>
      <c r="F350" s="91">
        <v>3</v>
      </c>
      <c r="G350" s="91" t="s">
        <v>81</v>
      </c>
      <c r="H350" s="92">
        <v>41</v>
      </c>
      <c r="I350" s="92">
        <v>0</v>
      </c>
      <c r="J350" s="92">
        <v>2</v>
      </c>
      <c r="K350" s="92">
        <v>20.212499999999999</v>
      </c>
      <c r="L350" s="92" t="s">
        <v>75</v>
      </c>
      <c r="M350" s="92" t="s">
        <v>76</v>
      </c>
      <c r="N350" s="92" t="s">
        <v>83</v>
      </c>
      <c r="O350" s="92" t="b">
        <v>0</v>
      </c>
      <c r="P350" s="92"/>
      <c r="Q350" s="92" t="s">
        <v>79</v>
      </c>
      <c r="R350" s="92" t="s">
        <v>80</v>
      </c>
      <c r="S350" s="92" t="b">
        <v>0</v>
      </c>
      <c r="T350" s="100">
        <v>1</v>
      </c>
      <c r="U350" s="100">
        <v>7.1104507666581632E+17</v>
      </c>
      <c r="V350" s="100"/>
    </row>
    <row r="351" spans="4:22" ht="15" customHeight="1">
      <c r="D351" s="98" t="b">
        <v>0</v>
      </c>
      <c r="E351" s="93">
        <v>1</v>
      </c>
      <c r="F351" s="91">
        <v>3</v>
      </c>
      <c r="G351" s="91" t="s">
        <v>81</v>
      </c>
      <c r="H351" s="92">
        <v>29</v>
      </c>
      <c r="I351" s="92">
        <v>0</v>
      </c>
      <c r="J351" s="92">
        <v>2</v>
      </c>
      <c r="K351" s="92">
        <v>15.245799999999999</v>
      </c>
      <c r="L351" s="92" t="s">
        <v>78</v>
      </c>
      <c r="M351" s="92" t="s">
        <v>76</v>
      </c>
      <c r="N351" s="92" t="s">
        <v>83</v>
      </c>
      <c r="O351" s="92" t="b">
        <v>0</v>
      </c>
      <c r="P351" s="92"/>
      <c r="Q351" s="92" t="s">
        <v>84</v>
      </c>
      <c r="R351" s="92" t="s">
        <v>85</v>
      </c>
      <c r="S351" s="92" t="b">
        <v>0</v>
      </c>
      <c r="T351" s="100">
        <v>1</v>
      </c>
      <c r="U351" s="100">
        <v>1.3934023901585103E+19</v>
      </c>
      <c r="V351" s="100"/>
    </row>
    <row r="352" spans="4:22" ht="15" customHeight="1">
      <c r="D352" s="98" t="b">
        <v>0</v>
      </c>
      <c r="E352" s="93">
        <v>1</v>
      </c>
      <c r="F352" s="91">
        <v>1</v>
      </c>
      <c r="G352" s="91" t="s">
        <v>81</v>
      </c>
      <c r="H352" s="92"/>
      <c r="I352" s="92">
        <v>0</v>
      </c>
      <c r="J352" s="92">
        <v>0</v>
      </c>
      <c r="K352" s="92">
        <v>79.2</v>
      </c>
      <c r="L352" s="92" t="s">
        <v>78</v>
      </c>
      <c r="M352" s="92" t="s">
        <v>82</v>
      </c>
      <c r="N352" s="92" t="s">
        <v>83</v>
      </c>
      <c r="O352" s="92" t="b">
        <v>0</v>
      </c>
      <c r="P352" s="92"/>
      <c r="Q352" s="92" t="s">
        <v>84</v>
      </c>
      <c r="R352" s="92" t="s">
        <v>85</v>
      </c>
      <c r="S352" s="92" t="b">
        <v>1</v>
      </c>
      <c r="T352" s="100">
        <v>1</v>
      </c>
      <c r="U352" s="100">
        <v>5.6487231429950177E+18</v>
      </c>
      <c r="V352" s="100"/>
    </row>
    <row r="353" spans="4:22" ht="15" customHeight="1">
      <c r="D353" s="98" t="b">
        <v>0</v>
      </c>
      <c r="E353" s="93">
        <v>1</v>
      </c>
      <c r="F353" s="91">
        <v>1</v>
      </c>
      <c r="G353" s="91" t="s">
        <v>81</v>
      </c>
      <c r="H353" s="92">
        <v>30</v>
      </c>
      <c r="I353" s="92">
        <v>0</v>
      </c>
      <c r="J353" s="92">
        <v>0</v>
      </c>
      <c r="K353" s="92">
        <v>86.5</v>
      </c>
      <c r="L353" s="92" t="s">
        <v>75</v>
      </c>
      <c r="M353" s="92" t="s">
        <v>82</v>
      </c>
      <c r="N353" s="92" t="s">
        <v>83</v>
      </c>
      <c r="O353" s="92" t="b">
        <v>0</v>
      </c>
      <c r="P353" s="92" t="s">
        <v>94</v>
      </c>
      <c r="Q353" s="92" t="s">
        <v>79</v>
      </c>
      <c r="R353" s="92" t="s">
        <v>85</v>
      </c>
      <c r="S353" s="92" t="b">
        <v>1</v>
      </c>
      <c r="T353" s="100">
        <v>0</v>
      </c>
      <c r="U353" s="100">
        <v>1.7260876233857864E+19</v>
      </c>
      <c r="V353" s="100"/>
    </row>
    <row r="354" spans="4:22" ht="15" customHeight="1">
      <c r="D354" s="98" t="b">
        <v>0</v>
      </c>
      <c r="E354" s="93">
        <v>1</v>
      </c>
      <c r="F354" s="91">
        <v>1</v>
      </c>
      <c r="G354" s="91" t="s">
        <v>81</v>
      </c>
      <c r="H354" s="92">
        <v>35</v>
      </c>
      <c r="I354" s="92">
        <v>0</v>
      </c>
      <c r="J354" s="92">
        <v>0</v>
      </c>
      <c r="K354" s="92">
        <v>512.32920000000001</v>
      </c>
      <c r="L354" s="92" t="s">
        <v>78</v>
      </c>
      <c r="M354" s="92" t="s">
        <v>82</v>
      </c>
      <c r="N354" s="92" t="s">
        <v>83</v>
      </c>
      <c r="O354" s="92" t="b">
        <v>0</v>
      </c>
      <c r="P354" s="92"/>
      <c r="Q354" s="92" t="s">
        <v>84</v>
      </c>
      <c r="R354" s="92" t="s">
        <v>85</v>
      </c>
      <c r="S354" s="92" t="b">
        <v>1</v>
      </c>
      <c r="T354" s="100">
        <v>1</v>
      </c>
      <c r="U354" s="100">
        <v>1.2034020811564143E+19</v>
      </c>
      <c r="V354" s="100"/>
    </row>
    <row r="355" spans="4:22" ht="15" customHeight="1">
      <c r="D355" s="98" t="b">
        <v>0</v>
      </c>
      <c r="E355" s="93">
        <v>1</v>
      </c>
      <c r="F355" s="91">
        <v>2</v>
      </c>
      <c r="G355" s="91" t="s">
        <v>81</v>
      </c>
      <c r="H355" s="92">
        <v>50</v>
      </c>
      <c r="I355" s="92">
        <v>0</v>
      </c>
      <c r="J355" s="92">
        <v>1</v>
      </c>
      <c r="K355" s="92">
        <v>26</v>
      </c>
      <c r="L355" s="92" t="s">
        <v>75</v>
      </c>
      <c r="M355" s="92" t="s">
        <v>90</v>
      </c>
      <c r="N355" s="92" t="s">
        <v>83</v>
      </c>
      <c r="O355" s="92" t="b">
        <v>0</v>
      </c>
      <c r="P355" s="92"/>
      <c r="Q355" s="92" t="s">
        <v>79</v>
      </c>
      <c r="R355" s="92" t="s">
        <v>85</v>
      </c>
      <c r="S355" s="92" t="b">
        <v>0</v>
      </c>
      <c r="T355" s="100">
        <v>1</v>
      </c>
      <c r="U355" s="100">
        <v>1.2195396704789254E+19</v>
      </c>
      <c r="V355" s="100"/>
    </row>
    <row r="356" spans="4:22" ht="15" customHeight="1">
      <c r="D356" s="98" t="b">
        <v>0</v>
      </c>
      <c r="E356" s="93">
        <v>0</v>
      </c>
      <c r="F356" s="91">
        <v>3</v>
      </c>
      <c r="G356" s="91" t="s">
        <v>74</v>
      </c>
      <c r="H356" s="92"/>
      <c r="I356" s="92">
        <v>0</v>
      </c>
      <c r="J356" s="92">
        <v>0</v>
      </c>
      <c r="K356" s="92">
        <v>7.75</v>
      </c>
      <c r="L356" s="92" t="s">
        <v>86</v>
      </c>
      <c r="M356" s="92" t="s">
        <v>76</v>
      </c>
      <c r="N356" s="92" t="s">
        <v>77</v>
      </c>
      <c r="O356" s="92" t="b">
        <v>1</v>
      </c>
      <c r="P356" s="92"/>
      <c r="Q356" s="92" t="s">
        <v>87</v>
      </c>
      <c r="R356" s="92" t="s">
        <v>80</v>
      </c>
      <c r="S356" s="92" t="b">
        <v>1</v>
      </c>
      <c r="T356" s="100">
        <v>1</v>
      </c>
      <c r="U356" s="100">
        <v>1.8659124076202463E+18</v>
      </c>
      <c r="V356" s="100"/>
    </row>
    <row r="357" spans="4:22" ht="15" customHeight="1">
      <c r="D357" s="98" t="b">
        <v>0</v>
      </c>
      <c r="E357" s="93">
        <v>1</v>
      </c>
      <c r="F357" s="91">
        <v>3</v>
      </c>
      <c r="G357" s="91" t="s">
        <v>74</v>
      </c>
      <c r="H357" s="92">
        <v>3</v>
      </c>
      <c r="I357" s="92">
        <v>4</v>
      </c>
      <c r="J357" s="92">
        <v>2</v>
      </c>
      <c r="K357" s="92">
        <v>31.387499999999999</v>
      </c>
      <c r="L357" s="92" t="s">
        <v>75</v>
      </c>
      <c r="M357" s="92" t="s">
        <v>76</v>
      </c>
      <c r="N357" s="92" t="s">
        <v>89</v>
      </c>
      <c r="O357" s="92" t="b">
        <v>0</v>
      </c>
      <c r="P357" s="92"/>
      <c r="Q357" s="92" t="s">
        <v>79</v>
      </c>
      <c r="R357" s="92" t="s">
        <v>85</v>
      </c>
      <c r="S357" s="92" t="b">
        <v>0</v>
      </c>
      <c r="T357" s="100">
        <v>1</v>
      </c>
      <c r="U357" s="100">
        <v>1.3881728044780661E+19</v>
      </c>
      <c r="V357" s="100"/>
    </row>
    <row r="358" spans="4:22" ht="15" customHeight="1">
      <c r="D358" s="98" t="b">
        <v>0</v>
      </c>
      <c r="E358" s="93">
        <v>0</v>
      </c>
      <c r="F358" s="91">
        <v>1</v>
      </c>
      <c r="G358" s="91" t="s">
        <v>74</v>
      </c>
      <c r="H358" s="92">
        <v>52</v>
      </c>
      <c r="I358" s="92">
        <v>1</v>
      </c>
      <c r="J358" s="92">
        <v>1</v>
      </c>
      <c r="K358" s="92">
        <v>79.650000000000006</v>
      </c>
      <c r="L358" s="92" t="s">
        <v>75</v>
      </c>
      <c r="M358" s="92" t="s">
        <v>82</v>
      </c>
      <c r="N358" s="92" t="s">
        <v>77</v>
      </c>
      <c r="O358" s="92" t="b">
        <v>1</v>
      </c>
      <c r="P358" s="92" t="s">
        <v>88</v>
      </c>
      <c r="Q358" s="92" t="s">
        <v>79</v>
      </c>
      <c r="R358" s="92" t="s">
        <v>80</v>
      </c>
      <c r="S358" s="92" t="b">
        <v>0</v>
      </c>
      <c r="T358" s="100">
        <v>0</v>
      </c>
      <c r="U358" s="100">
        <v>4.8662307270955397E+18</v>
      </c>
      <c r="V358" s="100"/>
    </row>
    <row r="359" spans="4:22" ht="15" customHeight="1">
      <c r="D359" s="98" t="b">
        <v>0</v>
      </c>
      <c r="E359" s="93">
        <v>0</v>
      </c>
      <c r="F359" s="91">
        <v>1</v>
      </c>
      <c r="G359" s="91" t="s">
        <v>74</v>
      </c>
      <c r="H359" s="92">
        <v>40</v>
      </c>
      <c r="I359" s="92">
        <v>0</v>
      </c>
      <c r="J359" s="92">
        <v>0</v>
      </c>
      <c r="K359" s="92">
        <v>0</v>
      </c>
      <c r="L359" s="92" t="s">
        <v>75</v>
      </c>
      <c r="M359" s="92" t="s">
        <v>82</v>
      </c>
      <c r="N359" s="92" t="s">
        <v>77</v>
      </c>
      <c r="O359" s="92" t="b">
        <v>1</v>
      </c>
      <c r="P359" s="92" t="s">
        <v>94</v>
      </c>
      <c r="Q359" s="92" t="s">
        <v>79</v>
      </c>
      <c r="R359" s="92" t="s">
        <v>80</v>
      </c>
      <c r="S359" s="92" t="b">
        <v>1</v>
      </c>
      <c r="T359" s="100">
        <v>0</v>
      </c>
      <c r="U359" s="100">
        <v>1.0620020942513074E+19</v>
      </c>
      <c r="V359" s="100"/>
    </row>
    <row r="360" spans="4:22" ht="15" customHeight="1">
      <c r="D360" s="98" t="b">
        <v>0</v>
      </c>
      <c r="E360" s="93">
        <v>0</v>
      </c>
      <c r="F360" s="91">
        <v>3</v>
      </c>
      <c r="G360" s="91" t="s">
        <v>81</v>
      </c>
      <c r="H360" s="92"/>
      <c r="I360" s="92">
        <v>0</v>
      </c>
      <c r="J360" s="92">
        <v>0</v>
      </c>
      <c r="K360" s="92">
        <v>7.75</v>
      </c>
      <c r="L360" s="92" t="s">
        <v>86</v>
      </c>
      <c r="M360" s="92" t="s">
        <v>76</v>
      </c>
      <c r="N360" s="92" t="s">
        <v>83</v>
      </c>
      <c r="O360" s="92" t="b">
        <v>0</v>
      </c>
      <c r="P360" s="92"/>
      <c r="Q360" s="92" t="s">
        <v>87</v>
      </c>
      <c r="R360" s="92" t="s">
        <v>80</v>
      </c>
      <c r="S360" s="92" t="b">
        <v>1</v>
      </c>
      <c r="T360" s="100">
        <v>1</v>
      </c>
      <c r="U360" s="100">
        <v>4.4042654876965693E+18</v>
      </c>
      <c r="V360" s="100"/>
    </row>
    <row r="361" spans="4:22" ht="15" customHeight="1">
      <c r="D361" s="98" t="b">
        <v>0</v>
      </c>
      <c r="E361" s="93">
        <v>0</v>
      </c>
      <c r="F361" s="91">
        <v>2</v>
      </c>
      <c r="G361" s="91" t="s">
        <v>74</v>
      </c>
      <c r="H361" s="92">
        <v>36</v>
      </c>
      <c r="I361" s="92">
        <v>0</v>
      </c>
      <c r="J361" s="92">
        <v>0</v>
      </c>
      <c r="K361" s="92">
        <v>10.5</v>
      </c>
      <c r="L361" s="92" t="s">
        <v>75</v>
      </c>
      <c r="M361" s="92" t="s">
        <v>90</v>
      </c>
      <c r="N361" s="92" t="s">
        <v>77</v>
      </c>
      <c r="O361" s="92" t="b">
        <v>1</v>
      </c>
      <c r="P361" s="92"/>
      <c r="Q361" s="92" t="s">
        <v>79</v>
      </c>
      <c r="R361" s="92" t="s">
        <v>80</v>
      </c>
      <c r="S361" s="92" t="b">
        <v>1</v>
      </c>
      <c r="T361" s="100">
        <v>1</v>
      </c>
      <c r="U361" s="100">
        <v>3.9148553244076662E+18</v>
      </c>
      <c r="V361" s="100"/>
    </row>
    <row r="362" spans="4:22" ht="15" customHeight="1">
      <c r="D362" s="98" t="b">
        <v>0</v>
      </c>
      <c r="E362" s="93">
        <v>0</v>
      </c>
      <c r="F362" s="91">
        <v>3</v>
      </c>
      <c r="G362" s="91" t="s">
        <v>74</v>
      </c>
      <c r="H362" s="92">
        <v>16</v>
      </c>
      <c r="I362" s="92">
        <v>4</v>
      </c>
      <c r="J362" s="92">
        <v>1</v>
      </c>
      <c r="K362" s="92">
        <v>39.6875</v>
      </c>
      <c r="L362" s="92" t="s">
        <v>75</v>
      </c>
      <c r="M362" s="92" t="s">
        <v>76</v>
      </c>
      <c r="N362" s="92" t="s">
        <v>77</v>
      </c>
      <c r="O362" s="92" t="b">
        <v>1</v>
      </c>
      <c r="P362" s="92"/>
      <c r="Q362" s="92" t="s">
        <v>79</v>
      </c>
      <c r="R362" s="92" t="s">
        <v>80</v>
      </c>
      <c r="S362" s="92" t="b">
        <v>0</v>
      </c>
      <c r="T362" s="100">
        <v>1</v>
      </c>
      <c r="U362" s="100">
        <v>1.7150101622952528E+19</v>
      </c>
      <c r="V362" s="100"/>
    </row>
    <row r="363" spans="4:22" ht="15" customHeight="1">
      <c r="D363" s="98" t="b">
        <v>0</v>
      </c>
      <c r="E363" s="93">
        <v>1</v>
      </c>
      <c r="F363" s="91">
        <v>3</v>
      </c>
      <c r="G363" s="91" t="s">
        <v>74</v>
      </c>
      <c r="H363" s="92">
        <v>25</v>
      </c>
      <c r="I363" s="92">
        <v>1</v>
      </c>
      <c r="J363" s="92">
        <v>0</v>
      </c>
      <c r="K363" s="92">
        <v>7.7750000000000004</v>
      </c>
      <c r="L363" s="92" t="s">
        <v>75</v>
      </c>
      <c r="M363" s="92" t="s">
        <v>76</v>
      </c>
      <c r="N363" s="92" t="s">
        <v>77</v>
      </c>
      <c r="O363" s="92" t="b">
        <v>1</v>
      </c>
      <c r="P363" s="92"/>
      <c r="Q363" s="92" t="s">
        <v>79</v>
      </c>
      <c r="R363" s="92" t="s">
        <v>85</v>
      </c>
      <c r="S363" s="92" t="b">
        <v>0</v>
      </c>
      <c r="T363" s="100">
        <v>1</v>
      </c>
      <c r="U363" s="100">
        <v>1.5619056544221538E+19</v>
      </c>
      <c r="V363" s="100"/>
    </row>
    <row r="364" spans="4:22" ht="15" customHeight="1">
      <c r="D364" s="98" t="b">
        <v>0</v>
      </c>
      <c r="E364" s="93">
        <v>1</v>
      </c>
      <c r="F364" s="91">
        <v>1</v>
      </c>
      <c r="G364" s="91" t="s">
        <v>81</v>
      </c>
      <c r="H364" s="92">
        <v>58</v>
      </c>
      <c r="I364" s="92">
        <v>0</v>
      </c>
      <c r="J364" s="92">
        <v>1</v>
      </c>
      <c r="K364" s="92">
        <v>153.46250000000001</v>
      </c>
      <c r="L364" s="92" t="s">
        <v>75</v>
      </c>
      <c r="M364" s="92" t="s">
        <v>82</v>
      </c>
      <c r="N364" s="92" t="s">
        <v>83</v>
      </c>
      <c r="O364" s="92" t="b">
        <v>0</v>
      </c>
      <c r="P364" s="92" t="s">
        <v>78</v>
      </c>
      <c r="Q364" s="92" t="s">
        <v>79</v>
      </c>
      <c r="R364" s="92" t="s">
        <v>85</v>
      </c>
      <c r="S364" s="92" t="b">
        <v>0</v>
      </c>
      <c r="T364" s="100">
        <v>0</v>
      </c>
      <c r="U364" s="100">
        <v>6.0417507983896648E+18</v>
      </c>
      <c r="V364" s="100"/>
    </row>
    <row r="365" spans="4:22" ht="15" customHeight="1">
      <c r="D365" s="98" t="b">
        <v>0</v>
      </c>
      <c r="E365" s="93">
        <v>1</v>
      </c>
      <c r="F365" s="91">
        <v>1</v>
      </c>
      <c r="G365" s="91" t="s">
        <v>81</v>
      </c>
      <c r="H365" s="92">
        <v>35</v>
      </c>
      <c r="I365" s="92">
        <v>0</v>
      </c>
      <c r="J365" s="92">
        <v>0</v>
      </c>
      <c r="K365" s="92">
        <v>135.63329999999999</v>
      </c>
      <c r="L365" s="92" t="s">
        <v>75</v>
      </c>
      <c r="M365" s="92" t="s">
        <v>82</v>
      </c>
      <c r="N365" s="92" t="s">
        <v>83</v>
      </c>
      <c r="O365" s="92" t="b">
        <v>0</v>
      </c>
      <c r="P365" s="92" t="s">
        <v>78</v>
      </c>
      <c r="Q365" s="92" t="s">
        <v>79</v>
      </c>
      <c r="R365" s="92" t="s">
        <v>85</v>
      </c>
      <c r="S365" s="92" t="b">
        <v>1</v>
      </c>
      <c r="T365" s="100">
        <v>0</v>
      </c>
      <c r="U365" s="100">
        <v>1.0039894510905344E+19</v>
      </c>
      <c r="V365" s="100"/>
    </row>
    <row r="366" spans="4:22" ht="15" customHeight="1">
      <c r="D366" s="98" t="b">
        <v>0</v>
      </c>
      <c r="E366" s="93">
        <v>0</v>
      </c>
      <c r="F366" s="91">
        <v>1</v>
      </c>
      <c r="G366" s="91" t="s">
        <v>74</v>
      </c>
      <c r="H366" s="92"/>
      <c r="I366" s="92">
        <v>0</v>
      </c>
      <c r="J366" s="92">
        <v>0</v>
      </c>
      <c r="K366" s="92">
        <v>31</v>
      </c>
      <c r="L366" s="92" t="s">
        <v>75</v>
      </c>
      <c r="M366" s="92" t="s">
        <v>82</v>
      </c>
      <c r="N366" s="92" t="s">
        <v>77</v>
      </c>
      <c r="O366" s="92" t="b">
        <v>1</v>
      </c>
      <c r="P366" s="92"/>
      <c r="Q366" s="92" t="s">
        <v>79</v>
      </c>
      <c r="R366" s="92" t="s">
        <v>80</v>
      </c>
      <c r="S366" s="92" t="b">
        <v>1</v>
      </c>
      <c r="T366" s="100">
        <v>1</v>
      </c>
      <c r="U366" s="100">
        <v>8.0804774715253952E+17</v>
      </c>
      <c r="V366" s="100"/>
    </row>
    <row r="367" spans="4:22" ht="15" customHeight="1">
      <c r="D367" s="98" t="b">
        <v>0</v>
      </c>
      <c r="E367" s="93">
        <v>1</v>
      </c>
      <c r="F367" s="91">
        <v>3</v>
      </c>
      <c r="G367" s="91" t="s">
        <v>74</v>
      </c>
      <c r="H367" s="92">
        <v>25</v>
      </c>
      <c r="I367" s="92">
        <v>0</v>
      </c>
      <c r="J367" s="92">
        <v>0</v>
      </c>
      <c r="K367" s="92">
        <v>0</v>
      </c>
      <c r="L367" s="92" t="s">
        <v>75</v>
      </c>
      <c r="M367" s="92" t="s">
        <v>76</v>
      </c>
      <c r="N367" s="92" t="s">
        <v>77</v>
      </c>
      <c r="O367" s="92" t="b">
        <v>1</v>
      </c>
      <c r="P367" s="92"/>
      <c r="Q367" s="92" t="s">
        <v>79</v>
      </c>
      <c r="R367" s="92" t="s">
        <v>85</v>
      </c>
      <c r="S367" s="92" t="b">
        <v>1</v>
      </c>
      <c r="T367" s="100">
        <v>1</v>
      </c>
      <c r="U367" s="100">
        <v>1.2376972418064415E+19</v>
      </c>
      <c r="V367" s="100"/>
    </row>
    <row r="368" spans="4:22" ht="15" customHeight="1">
      <c r="D368" s="98" t="b">
        <v>0</v>
      </c>
      <c r="E368" s="93">
        <v>1</v>
      </c>
      <c r="F368" s="91">
        <v>2</v>
      </c>
      <c r="G368" s="91" t="s">
        <v>81</v>
      </c>
      <c r="H368" s="92">
        <v>41</v>
      </c>
      <c r="I368" s="92">
        <v>0</v>
      </c>
      <c r="J368" s="92">
        <v>1</v>
      </c>
      <c r="K368" s="92">
        <v>19.5</v>
      </c>
      <c r="L368" s="92" t="s">
        <v>75</v>
      </c>
      <c r="M368" s="92" t="s">
        <v>90</v>
      </c>
      <c r="N368" s="92" t="s">
        <v>83</v>
      </c>
      <c r="O368" s="92" t="b">
        <v>0</v>
      </c>
      <c r="P368" s="92"/>
      <c r="Q368" s="92" t="s">
        <v>79</v>
      </c>
      <c r="R368" s="92" t="s">
        <v>85</v>
      </c>
      <c r="S368" s="92" t="b">
        <v>0</v>
      </c>
      <c r="T368" s="100">
        <v>1</v>
      </c>
      <c r="U368" s="100">
        <v>9.995500026815486E+18</v>
      </c>
      <c r="V368" s="100"/>
    </row>
    <row r="369" spans="4:22" ht="15" customHeight="1">
      <c r="D369" s="98" t="b">
        <v>0</v>
      </c>
      <c r="E369" s="93">
        <v>0</v>
      </c>
      <c r="F369" s="91">
        <v>1</v>
      </c>
      <c r="G369" s="91" t="s">
        <v>74</v>
      </c>
      <c r="H369" s="92">
        <v>37</v>
      </c>
      <c r="I369" s="92">
        <v>0</v>
      </c>
      <c r="J369" s="92">
        <v>1</v>
      </c>
      <c r="K369" s="92">
        <v>29.7</v>
      </c>
      <c r="L369" s="92" t="s">
        <v>78</v>
      </c>
      <c r="M369" s="92" t="s">
        <v>82</v>
      </c>
      <c r="N369" s="92" t="s">
        <v>77</v>
      </c>
      <c r="O369" s="92" t="b">
        <v>1</v>
      </c>
      <c r="P369" s="92" t="s">
        <v>78</v>
      </c>
      <c r="Q369" s="92" t="s">
        <v>84</v>
      </c>
      <c r="R369" s="92" t="s">
        <v>80</v>
      </c>
      <c r="S369" s="92" t="b">
        <v>0</v>
      </c>
      <c r="T369" s="100">
        <v>0</v>
      </c>
      <c r="U369" s="100">
        <v>3.8335346268192543E+18</v>
      </c>
      <c r="V369" s="100"/>
    </row>
    <row r="370" spans="4:22" ht="15" customHeight="1">
      <c r="D370" s="98" t="b">
        <v>0</v>
      </c>
      <c r="E370" s="93">
        <v>1</v>
      </c>
      <c r="F370" s="91">
        <v>3</v>
      </c>
      <c r="G370" s="91" t="s">
        <v>81</v>
      </c>
      <c r="H370" s="92"/>
      <c r="I370" s="92">
        <v>0</v>
      </c>
      <c r="J370" s="92">
        <v>0</v>
      </c>
      <c r="K370" s="92">
        <v>7.75</v>
      </c>
      <c r="L370" s="92" t="s">
        <v>86</v>
      </c>
      <c r="M370" s="92" t="s">
        <v>76</v>
      </c>
      <c r="N370" s="92" t="s">
        <v>83</v>
      </c>
      <c r="O370" s="92" t="b">
        <v>0</v>
      </c>
      <c r="P370" s="92"/>
      <c r="Q370" s="92" t="s">
        <v>87</v>
      </c>
      <c r="R370" s="92" t="s">
        <v>85</v>
      </c>
      <c r="S370" s="92" t="b">
        <v>1</v>
      </c>
      <c r="T370" s="100">
        <v>1</v>
      </c>
      <c r="U370" s="100">
        <v>9.0824774226500116E+18</v>
      </c>
      <c r="V370" s="100"/>
    </row>
    <row r="371" spans="4:22" ht="15" customHeight="1">
      <c r="D371" s="98" t="b">
        <v>0</v>
      </c>
      <c r="E371" s="93">
        <v>1</v>
      </c>
      <c r="F371" s="91">
        <v>1</v>
      </c>
      <c r="G371" s="91" t="s">
        <v>81</v>
      </c>
      <c r="H371" s="92">
        <v>63</v>
      </c>
      <c r="I371" s="92">
        <v>1</v>
      </c>
      <c r="J371" s="92">
        <v>0</v>
      </c>
      <c r="K371" s="92">
        <v>77.958299999999994</v>
      </c>
      <c r="L371" s="92" t="s">
        <v>75</v>
      </c>
      <c r="M371" s="92" t="s">
        <v>82</v>
      </c>
      <c r="N371" s="92" t="s">
        <v>83</v>
      </c>
      <c r="O371" s="92" t="b">
        <v>0</v>
      </c>
      <c r="P371" s="92" t="s">
        <v>92</v>
      </c>
      <c r="Q371" s="92" t="s">
        <v>79</v>
      </c>
      <c r="R371" s="92" t="s">
        <v>85</v>
      </c>
      <c r="S371" s="92" t="b">
        <v>0</v>
      </c>
      <c r="T371" s="100">
        <v>0</v>
      </c>
      <c r="U371" s="100">
        <v>1.5429636542385283E+19</v>
      </c>
      <c r="V371" s="100"/>
    </row>
    <row r="372" spans="4:22" ht="15" customHeight="1">
      <c r="D372" s="98" t="b">
        <v>0</v>
      </c>
      <c r="E372" s="93">
        <v>0</v>
      </c>
      <c r="F372" s="91">
        <v>3</v>
      </c>
      <c r="G372" s="91" t="s">
        <v>81</v>
      </c>
      <c r="H372" s="92">
        <v>45</v>
      </c>
      <c r="I372" s="92">
        <v>0</v>
      </c>
      <c r="J372" s="92">
        <v>0</v>
      </c>
      <c r="K372" s="92">
        <v>7.75</v>
      </c>
      <c r="L372" s="92" t="s">
        <v>75</v>
      </c>
      <c r="M372" s="92" t="s">
        <v>76</v>
      </c>
      <c r="N372" s="92" t="s">
        <v>83</v>
      </c>
      <c r="O372" s="92" t="b">
        <v>0</v>
      </c>
      <c r="P372" s="92"/>
      <c r="Q372" s="92" t="s">
        <v>79</v>
      </c>
      <c r="R372" s="92" t="s">
        <v>80</v>
      </c>
      <c r="S372" s="92" t="b">
        <v>1</v>
      </c>
      <c r="T372" s="100">
        <v>1</v>
      </c>
      <c r="U372" s="100">
        <v>8.0213134489115986E+18</v>
      </c>
      <c r="V372" s="100"/>
    </row>
    <row r="373" spans="4:22" ht="15" customHeight="1">
      <c r="D373" s="98" t="b">
        <v>0</v>
      </c>
      <c r="E373" s="93">
        <v>0</v>
      </c>
      <c r="F373" s="91">
        <v>2</v>
      </c>
      <c r="G373" s="91" t="s">
        <v>74</v>
      </c>
      <c r="H373" s="92"/>
      <c r="I373" s="92">
        <v>0</v>
      </c>
      <c r="J373" s="92">
        <v>0</v>
      </c>
      <c r="K373" s="92">
        <v>0</v>
      </c>
      <c r="L373" s="92" t="s">
        <v>75</v>
      </c>
      <c r="M373" s="92" t="s">
        <v>90</v>
      </c>
      <c r="N373" s="92" t="s">
        <v>77</v>
      </c>
      <c r="O373" s="92" t="b">
        <v>1</v>
      </c>
      <c r="P373" s="92"/>
      <c r="Q373" s="92" t="s">
        <v>79</v>
      </c>
      <c r="R373" s="92" t="s">
        <v>80</v>
      </c>
      <c r="S373" s="92" t="b">
        <v>1</v>
      </c>
      <c r="T373" s="100">
        <v>1</v>
      </c>
      <c r="U373" s="100">
        <v>6.2556219612342832E+16</v>
      </c>
      <c r="V373" s="100"/>
    </row>
    <row r="374" spans="4:22" ht="15" customHeight="1">
      <c r="D374" s="98" t="b">
        <v>0</v>
      </c>
      <c r="E374" s="93">
        <v>0</v>
      </c>
      <c r="F374" s="91">
        <v>3</v>
      </c>
      <c r="G374" s="91" t="s">
        <v>74</v>
      </c>
      <c r="H374" s="92">
        <v>7</v>
      </c>
      <c r="I374" s="92">
        <v>4</v>
      </c>
      <c r="J374" s="92">
        <v>1</v>
      </c>
      <c r="K374" s="92">
        <v>29.125</v>
      </c>
      <c r="L374" s="92" t="s">
        <v>86</v>
      </c>
      <c r="M374" s="92" t="s">
        <v>76</v>
      </c>
      <c r="N374" s="92" t="s">
        <v>89</v>
      </c>
      <c r="O374" s="92" t="b">
        <v>0</v>
      </c>
      <c r="P374" s="92"/>
      <c r="Q374" s="92" t="s">
        <v>87</v>
      </c>
      <c r="R374" s="92" t="s">
        <v>80</v>
      </c>
      <c r="S374" s="92" t="b">
        <v>0</v>
      </c>
      <c r="T374" s="100">
        <v>1</v>
      </c>
      <c r="U374" s="100">
        <v>3.8327128100320246E+18</v>
      </c>
      <c r="V374" s="100"/>
    </row>
    <row r="375" spans="4:22" ht="15" customHeight="1">
      <c r="D375" s="98" t="b">
        <v>0</v>
      </c>
      <c r="E375" s="93">
        <v>1</v>
      </c>
      <c r="F375" s="91">
        <v>3</v>
      </c>
      <c r="G375" s="91" t="s">
        <v>81</v>
      </c>
      <c r="H375" s="92">
        <v>35</v>
      </c>
      <c r="I375" s="92">
        <v>1</v>
      </c>
      <c r="J375" s="92">
        <v>1</v>
      </c>
      <c r="K375" s="92">
        <v>20.25</v>
      </c>
      <c r="L375" s="92" t="s">
        <v>75</v>
      </c>
      <c r="M375" s="92" t="s">
        <v>76</v>
      </c>
      <c r="N375" s="92" t="s">
        <v>83</v>
      </c>
      <c r="O375" s="92" t="b">
        <v>0</v>
      </c>
      <c r="P375" s="92"/>
      <c r="Q375" s="92" t="s">
        <v>79</v>
      </c>
      <c r="R375" s="92" t="s">
        <v>85</v>
      </c>
      <c r="S375" s="92" t="b">
        <v>0</v>
      </c>
      <c r="T375" s="100">
        <v>1</v>
      </c>
      <c r="U375" s="100">
        <v>1.5984155199222016E+19</v>
      </c>
      <c r="V375" s="100"/>
    </row>
    <row r="376" spans="4:22" ht="15" customHeight="1">
      <c r="D376" s="98" t="b">
        <v>0</v>
      </c>
      <c r="E376" s="93">
        <v>0</v>
      </c>
      <c r="F376" s="91">
        <v>3</v>
      </c>
      <c r="G376" s="91" t="s">
        <v>74</v>
      </c>
      <c r="H376" s="92">
        <v>65</v>
      </c>
      <c r="I376" s="92">
        <v>0</v>
      </c>
      <c r="J376" s="92">
        <v>0</v>
      </c>
      <c r="K376" s="92">
        <v>7.75</v>
      </c>
      <c r="L376" s="92" t="s">
        <v>86</v>
      </c>
      <c r="M376" s="92" t="s">
        <v>76</v>
      </c>
      <c r="N376" s="92" t="s">
        <v>77</v>
      </c>
      <c r="O376" s="92" t="b">
        <v>1</v>
      </c>
      <c r="P376" s="92"/>
      <c r="Q376" s="92" t="s">
        <v>87</v>
      </c>
      <c r="R376" s="92" t="s">
        <v>80</v>
      </c>
      <c r="S376" s="92" t="b">
        <v>1</v>
      </c>
      <c r="T376" s="100">
        <v>1</v>
      </c>
      <c r="U376" s="100">
        <v>9.6553609508874711E+18</v>
      </c>
      <c r="V376" s="100"/>
    </row>
    <row r="377" spans="4:22" ht="15" customHeight="1">
      <c r="D377" s="98" t="b">
        <v>0</v>
      </c>
      <c r="E377" s="93">
        <v>0</v>
      </c>
      <c r="F377" s="91">
        <v>3</v>
      </c>
      <c r="G377" s="91" t="s">
        <v>74</v>
      </c>
      <c r="H377" s="92">
        <v>28</v>
      </c>
      <c r="I377" s="92">
        <v>0</v>
      </c>
      <c r="J377" s="92">
        <v>0</v>
      </c>
      <c r="K377" s="92">
        <v>7.8541999999999996</v>
      </c>
      <c r="L377" s="92" t="s">
        <v>75</v>
      </c>
      <c r="M377" s="92" t="s">
        <v>76</v>
      </c>
      <c r="N377" s="92" t="s">
        <v>77</v>
      </c>
      <c r="O377" s="92" t="b">
        <v>1</v>
      </c>
      <c r="P377" s="92"/>
      <c r="Q377" s="92" t="s">
        <v>79</v>
      </c>
      <c r="R377" s="92" t="s">
        <v>80</v>
      </c>
      <c r="S377" s="92" t="b">
        <v>1</v>
      </c>
      <c r="T377" s="100">
        <v>1</v>
      </c>
      <c r="U377" s="100">
        <v>7.6891646527510856E+18</v>
      </c>
      <c r="V377" s="100"/>
    </row>
    <row r="378" spans="4:22" ht="15" customHeight="1">
      <c r="D378" s="98" t="b">
        <v>0</v>
      </c>
      <c r="E378" s="93">
        <v>0</v>
      </c>
      <c r="F378" s="91">
        <v>3</v>
      </c>
      <c r="G378" s="91" t="s">
        <v>74</v>
      </c>
      <c r="H378" s="92">
        <v>16</v>
      </c>
      <c r="I378" s="92">
        <v>0</v>
      </c>
      <c r="J378" s="92">
        <v>0</v>
      </c>
      <c r="K378" s="92">
        <v>9.5</v>
      </c>
      <c r="L378" s="92" t="s">
        <v>75</v>
      </c>
      <c r="M378" s="92" t="s">
        <v>76</v>
      </c>
      <c r="N378" s="92" t="s">
        <v>77</v>
      </c>
      <c r="O378" s="92" t="b">
        <v>1</v>
      </c>
      <c r="P378" s="92"/>
      <c r="Q378" s="92" t="s">
        <v>79</v>
      </c>
      <c r="R378" s="92" t="s">
        <v>80</v>
      </c>
      <c r="S378" s="92" t="b">
        <v>1</v>
      </c>
      <c r="T378" s="100">
        <v>1</v>
      </c>
      <c r="U378" s="100">
        <v>1.4032624900189344E+19</v>
      </c>
      <c r="V378" s="100"/>
    </row>
    <row r="379" spans="4:22" ht="15" customHeight="1">
      <c r="D379" s="98" t="b">
        <v>0</v>
      </c>
      <c r="E379" s="93">
        <v>1</v>
      </c>
      <c r="F379" s="91">
        <v>3</v>
      </c>
      <c r="G379" s="91" t="s">
        <v>74</v>
      </c>
      <c r="H379" s="92">
        <v>19</v>
      </c>
      <c r="I379" s="92">
        <v>0</v>
      </c>
      <c r="J379" s="92">
        <v>0</v>
      </c>
      <c r="K379" s="92">
        <v>8.0500000000000007</v>
      </c>
      <c r="L379" s="92" t="s">
        <v>75</v>
      </c>
      <c r="M379" s="92" t="s">
        <v>76</v>
      </c>
      <c r="N379" s="92" t="s">
        <v>77</v>
      </c>
      <c r="O379" s="92" t="b">
        <v>1</v>
      </c>
      <c r="P379" s="92"/>
      <c r="Q379" s="92" t="s">
        <v>79</v>
      </c>
      <c r="R379" s="92" t="s">
        <v>85</v>
      </c>
      <c r="S379" s="92" t="b">
        <v>1</v>
      </c>
      <c r="T379" s="100">
        <v>1</v>
      </c>
      <c r="U379" s="100">
        <v>5.6892573625478298E+18</v>
      </c>
      <c r="V379" s="100"/>
    </row>
    <row r="380" spans="4:22" ht="15" customHeight="1">
      <c r="D380" s="98" t="b">
        <v>0</v>
      </c>
      <c r="E380" s="93">
        <v>0</v>
      </c>
      <c r="F380" s="91">
        <v>1</v>
      </c>
      <c r="G380" s="91" t="s">
        <v>74</v>
      </c>
      <c r="H380" s="92"/>
      <c r="I380" s="92">
        <v>0</v>
      </c>
      <c r="J380" s="92">
        <v>0</v>
      </c>
      <c r="K380" s="92">
        <v>26</v>
      </c>
      <c r="L380" s="92" t="s">
        <v>75</v>
      </c>
      <c r="M380" s="92" t="s">
        <v>82</v>
      </c>
      <c r="N380" s="92" t="s">
        <v>77</v>
      </c>
      <c r="O380" s="92" t="b">
        <v>1</v>
      </c>
      <c r="P380" s="92" t="s">
        <v>93</v>
      </c>
      <c r="Q380" s="92" t="s">
        <v>79</v>
      </c>
      <c r="R380" s="92" t="s">
        <v>80</v>
      </c>
      <c r="S380" s="92" t="b">
        <v>1</v>
      </c>
      <c r="T380" s="100">
        <v>1</v>
      </c>
      <c r="U380" s="100">
        <v>6.3395053137107907E+18</v>
      </c>
      <c r="V380" s="100"/>
    </row>
    <row r="381" spans="4:22" ht="15" customHeight="1">
      <c r="D381" s="98" t="b">
        <v>0</v>
      </c>
      <c r="E381" s="93">
        <v>0</v>
      </c>
      <c r="F381" s="91">
        <v>3</v>
      </c>
      <c r="G381" s="91" t="s">
        <v>74</v>
      </c>
      <c r="H381" s="92">
        <v>33</v>
      </c>
      <c r="I381" s="92">
        <v>0</v>
      </c>
      <c r="J381" s="92">
        <v>0</v>
      </c>
      <c r="K381" s="92">
        <v>8.6624999999999996</v>
      </c>
      <c r="L381" s="92" t="s">
        <v>78</v>
      </c>
      <c r="M381" s="92" t="s">
        <v>76</v>
      </c>
      <c r="N381" s="92" t="s">
        <v>77</v>
      </c>
      <c r="O381" s="92" t="b">
        <v>1</v>
      </c>
      <c r="P381" s="92"/>
      <c r="Q381" s="92" t="s">
        <v>84</v>
      </c>
      <c r="R381" s="92" t="s">
        <v>80</v>
      </c>
      <c r="S381" s="92" t="b">
        <v>1</v>
      </c>
      <c r="T381" s="100">
        <v>1</v>
      </c>
      <c r="U381" s="100">
        <v>4.7003928414747484E+18</v>
      </c>
      <c r="V381" s="100"/>
    </row>
    <row r="382" spans="4:22" ht="15" customHeight="1">
      <c r="D382" s="98" t="b">
        <v>0</v>
      </c>
      <c r="E382" s="93">
        <v>1</v>
      </c>
      <c r="F382" s="91">
        <v>3</v>
      </c>
      <c r="G382" s="91" t="s">
        <v>74</v>
      </c>
      <c r="H382" s="92">
        <v>30</v>
      </c>
      <c r="I382" s="92">
        <v>0</v>
      </c>
      <c r="J382" s="92">
        <v>0</v>
      </c>
      <c r="K382" s="92">
        <v>9.5</v>
      </c>
      <c r="L382" s="92" t="s">
        <v>75</v>
      </c>
      <c r="M382" s="92" t="s">
        <v>76</v>
      </c>
      <c r="N382" s="92" t="s">
        <v>77</v>
      </c>
      <c r="O382" s="92" t="b">
        <v>1</v>
      </c>
      <c r="P382" s="92"/>
      <c r="Q382" s="92" t="s">
        <v>79</v>
      </c>
      <c r="R382" s="92" t="s">
        <v>85</v>
      </c>
      <c r="S382" s="92" t="b">
        <v>1</v>
      </c>
      <c r="T382" s="100">
        <v>1</v>
      </c>
      <c r="U382" s="100">
        <v>1.4204980663064087E+19</v>
      </c>
      <c r="V382" s="100"/>
    </row>
    <row r="383" spans="4:22" ht="15" customHeight="1">
      <c r="D383" s="98" t="b">
        <v>0</v>
      </c>
      <c r="E383" s="93">
        <v>0</v>
      </c>
      <c r="F383" s="91">
        <v>3</v>
      </c>
      <c r="G383" s="91" t="s">
        <v>74</v>
      </c>
      <c r="H383" s="92">
        <v>22</v>
      </c>
      <c r="I383" s="92">
        <v>0</v>
      </c>
      <c r="J383" s="92">
        <v>0</v>
      </c>
      <c r="K383" s="92">
        <v>7.8958000000000004</v>
      </c>
      <c r="L383" s="92" t="s">
        <v>75</v>
      </c>
      <c r="M383" s="92" t="s">
        <v>76</v>
      </c>
      <c r="N383" s="92" t="s">
        <v>77</v>
      </c>
      <c r="O383" s="92" t="b">
        <v>1</v>
      </c>
      <c r="P383" s="92"/>
      <c r="Q383" s="92" t="s">
        <v>79</v>
      </c>
      <c r="R383" s="92" t="s">
        <v>80</v>
      </c>
      <c r="S383" s="92" t="b">
        <v>1</v>
      </c>
      <c r="T383" s="100">
        <v>1</v>
      </c>
      <c r="U383" s="100">
        <v>8.5491614566769357E+18</v>
      </c>
      <c r="V383" s="100"/>
    </row>
    <row r="384" spans="4:22" ht="15" customHeight="1">
      <c r="D384" s="98" t="b">
        <v>0</v>
      </c>
      <c r="E384" s="93">
        <v>1</v>
      </c>
      <c r="F384" s="91">
        <v>2</v>
      </c>
      <c r="G384" s="91" t="s">
        <v>74</v>
      </c>
      <c r="H384" s="92">
        <v>42</v>
      </c>
      <c r="I384" s="92">
        <v>0</v>
      </c>
      <c r="J384" s="92">
        <v>0</v>
      </c>
      <c r="K384" s="92">
        <v>13</v>
      </c>
      <c r="L384" s="92" t="s">
        <v>75</v>
      </c>
      <c r="M384" s="92" t="s">
        <v>90</v>
      </c>
      <c r="N384" s="92" t="s">
        <v>77</v>
      </c>
      <c r="O384" s="92" t="b">
        <v>1</v>
      </c>
      <c r="P384" s="92"/>
      <c r="Q384" s="92" t="s">
        <v>79</v>
      </c>
      <c r="R384" s="92" t="s">
        <v>85</v>
      </c>
      <c r="S384" s="92" t="b">
        <v>1</v>
      </c>
      <c r="T384" s="100">
        <v>1</v>
      </c>
      <c r="U384" s="100">
        <v>1.8372022964264172E+19</v>
      </c>
      <c r="V384" s="100"/>
    </row>
    <row r="385" spans="4:22" ht="15" customHeight="1">
      <c r="D385" s="98" t="b">
        <v>0</v>
      </c>
      <c r="E385" s="93">
        <v>1</v>
      </c>
      <c r="F385" s="91">
        <v>3</v>
      </c>
      <c r="G385" s="91" t="s">
        <v>81</v>
      </c>
      <c r="H385" s="92">
        <v>22</v>
      </c>
      <c r="I385" s="92">
        <v>0</v>
      </c>
      <c r="J385" s="92">
        <v>0</v>
      </c>
      <c r="K385" s="92">
        <v>7.75</v>
      </c>
      <c r="L385" s="92" t="s">
        <v>86</v>
      </c>
      <c r="M385" s="92" t="s">
        <v>76</v>
      </c>
      <c r="N385" s="92" t="s">
        <v>83</v>
      </c>
      <c r="O385" s="92" t="b">
        <v>0</v>
      </c>
      <c r="P385" s="92"/>
      <c r="Q385" s="92" t="s">
        <v>87</v>
      </c>
      <c r="R385" s="92" t="s">
        <v>85</v>
      </c>
      <c r="S385" s="92" t="b">
        <v>1</v>
      </c>
      <c r="T385" s="100">
        <v>1</v>
      </c>
      <c r="U385" s="100">
        <v>1.1420887729272978E+18</v>
      </c>
      <c r="V385" s="100"/>
    </row>
    <row r="386" spans="4:22" ht="15" customHeight="1">
      <c r="D386" s="98" t="b">
        <v>0</v>
      </c>
      <c r="E386" s="93">
        <v>1</v>
      </c>
      <c r="F386" s="91">
        <v>1</v>
      </c>
      <c r="G386" s="91" t="s">
        <v>81</v>
      </c>
      <c r="H386" s="92">
        <v>26</v>
      </c>
      <c r="I386" s="92">
        <v>0</v>
      </c>
      <c r="J386" s="92">
        <v>0</v>
      </c>
      <c r="K386" s="92">
        <v>78.849999999999994</v>
      </c>
      <c r="L386" s="92" t="s">
        <v>75</v>
      </c>
      <c r="M386" s="92" t="s">
        <v>82</v>
      </c>
      <c r="N386" s="92" t="s">
        <v>83</v>
      </c>
      <c r="O386" s="92" t="b">
        <v>0</v>
      </c>
      <c r="P386" s="92"/>
      <c r="Q386" s="92" t="s">
        <v>79</v>
      </c>
      <c r="R386" s="92" t="s">
        <v>85</v>
      </c>
      <c r="S386" s="92" t="b">
        <v>1</v>
      </c>
      <c r="T386" s="100">
        <v>1</v>
      </c>
      <c r="U386" s="100">
        <v>1.0261775813759017E+18</v>
      </c>
      <c r="V386" s="100"/>
    </row>
    <row r="387" spans="4:22" ht="15" customHeight="1">
      <c r="D387" s="98" t="b">
        <v>0</v>
      </c>
      <c r="E387" s="93">
        <v>1</v>
      </c>
      <c r="F387" s="91">
        <v>1</v>
      </c>
      <c r="G387" s="91" t="s">
        <v>81</v>
      </c>
      <c r="H387" s="92">
        <v>19</v>
      </c>
      <c r="I387" s="92">
        <v>1</v>
      </c>
      <c r="J387" s="92">
        <v>0</v>
      </c>
      <c r="K387" s="92">
        <v>91.0792</v>
      </c>
      <c r="L387" s="92" t="s">
        <v>78</v>
      </c>
      <c r="M387" s="92" t="s">
        <v>82</v>
      </c>
      <c r="N387" s="92" t="s">
        <v>83</v>
      </c>
      <c r="O387" s="92" t="b">
        <v>0</v>
      </c>
      <c r="P387" s="92" t="s">
        <v>94</v>
      </c>
      <c r="Q387" s="92" t="s">
        <v>84</v>
      </c>
      <c r="R387" s="92" t="s">
        <v>85</v>
      </c>
      <c r="S387" s="92" t="b">
        <v>0</v>
      </c>
      <c r="T387" s="100">
        <v>0</v>
      </c>
      <c r="U387" s="100">
        <v>3.4720131341436078E+18</v>
      </c>
      <c r="V387" s="100"/>
    </row>
    <row r="388" spans="4:22" ht="15" customHeight="1">
      <c r="D388" s="98" t="b">
        <v>0</v>
      </c>
      <c r="E388" s="93">
        <v>0</v>
      </c>
      <c r="F388" s="91">
        <v>2</v>
      </c>
      <c r="G388" s="91" t="s">
        <v>74</v>
      </c>
      <c r="H388" s="92">
        <v>36</v>
      </c>
      <c r="I388" s="92">
        <v>0</v>
      </c>
      <c r="J388" s="92">
        <v>0</v>
      </c>
      <c r="K388" s="92">
        <v>12.875</v>
      </c>
      <c r="L388" s="92" t="s">
        <v>78</v>
      </c>
      <c r="M388" s="92" t="s">
        <v>90</v>
      </c>
      <c r="N388" s="92" t="s">
        <v>77</v>
      </c>
      <c r="O388" s="92" t="b">
        <v>1</v>
      </c>
      <c r="P388" s="92" t="s">
        <v>92</v>
      </c>
      <c r="Q388" s="92" t="s">
        <v>84</v>
      </c>
      <c r="R388" s="92" t="s">
        <v>80</v>
      </c>
      <c r="S388" s="92" t="b">
        <v>1</v>
      </c>
      <c r="T388" s="100">
        <v>0</v>
      </c>
      <c r="U388" s="100">
        <v>1.1652909675897403E+19</v>
      </c>
      <c r="V388" s="100"/>
    </row>
    <row r="389" spans="4:22" ht="15" customHeight="1">
      <c r="D389" s="98" t="b">
        <v>0</v>
      </c>
      <c r="E389" s="93">
        <v>0</v>
      </c>
      <c r="F389" s="91">
        <v>3</v>
      </c>
      <c r="G389" s="91" t="s">
        <v>81</v>
      </c>
      <c r="H389" s="92">
        <v>24</v>
      </c>
      <c r="I389" s="92">
        <v>0</v>
      </c>
      <c r="J389" s="92">
        <v>0</v>
      </c>
      <c r="K389" s="92">
        <v>8.85</v>
      </c>
      <c r="L389" s="92" t="s">
        <v>75</v>
      </c>
      <c r="M389" s="92" t="s">
        <v>76</v>
      </c>
      <c r="N389" s="92" t="s">
        <v>83</v>
      </c>
      <c r="O389" s="92" t="b">
        <v>0</v>
      </c>
      <c r="P389" s="92"/>
      <c r="Q389" s="92" t="s">
        <v>79</v>
      </c>
      <c r="R389" s="92" t="s">
        <v>80</v>
      </c>
      <c r="S389" s="92" t="b">
        <v>1</v>
      </c>
      <c r="T389" s="100">
        <v>1</v>
      </c>
      <c r="U389" s="100">
        <v>3.864256330454103E+18</v>
      </c>
      <c r="V389" s="100"/>
    </row>
    <row r="390" spans="4:22" ht="15" customHeight="1">
      <c r="D390" s="98" t="b">
        <v>0</v>
      </c>
      <c r="E390" s="93">
        <v>0</v>
      </c>
      <c r="F390" s="91">
        <v>3</v>
      </c>
      <c r="G390" s="91" t="s">
        <v>74</v>
      </c>
      <c r="H390" s="92">
        <v>24</v>
      </c>
      <c r="I390" s="92">
        <v>0</v>
      </c>
      <c r="J390" s="92">
        <v>0</v>
      </c>
      <c r="K390" s="92">
        <v>7.8958000000000004</v>
      </c>
      <c r="L390" s="92" t="s">
        <v>75</v>
      </c>
      <c r="M390" s="92" t="s">
        <v>76</v>
      </c>
      <c r="N390" s="92" t="s">
        <v>77</v>
      </c>
      <c r="O390" s="92" t="b">
        <v>1</v>
      </c>
      <c r="P390" s="92"/>
      <c r="Q390" s="92" t="s">
        <v>79</v>
      </c>
      <c r="R390" s="92" t="s">
        <v>80</v>
      </c>
      <c r="S390" s="92" t="b">
        <v>1</v>
      </c>
      <c r="T390" s="100">
        <v>1</v>
      </c>
      <c r="U390" s="100">
        <v>1.1215575660166273E+19</v>
      </c>
      <c r="V390" s="100"/>
    </row>
    <row r="391" spans="4:22" ht="15" customHeight="1">
      <c r="D391" s="98" t="b">
        <v>0</v>
      </c>
      <c r="E391" s="93">
        <v>0</v>
      </c>
      <c r="F391" s="91">
        <v>1</v>
      </c>
      <c r="G391" s="91" t="s">
        <v>74</v>
      </c>
      <c r="H391" s="92"/>
      <c r="I391" s="92">
        <v>0</v>
      </c>
      <c r="J391" s="92">
        <v>0</v>
      </c>
      <c r="K391" s="92">
        <v>27.720800000000001</v>
      </c>
      <c r="L391" s="92" t="s">
        <v>78</v>
      </c>
      <c r="M391" s="92" t="s">
        <v>82</v>
      </c>
      <c r="N391" s="92" t="s">
        <v>77</v>
      </c>
      <c r="O391" s="92" t="b">
        <v>1</v>
      </c>
      <c r="P391" s="92"/>
      <c r="Q391" s="92" t="s">
        <v>84</v>
      </c>
      <c r="R391" s="92" t="s">
        <v>80</v>
      </c>
      <c r="S391" s="92" t="b">
        <v>1</v>
      </c>
      <c r="T391" s="100">
        <v>1</v>
      </c>
      <c r="U391" s="100">
        <v>1.3941160181805535E+19</v>
      </c>
      <c r="V391" s="100"/>
    </row>
    <row r="392" spans="4:22" ht="15" customHeight="1">
      <c r="D392" s="98" t="b">
        <v>0</v>
      </c>
      <c r="E392" s="93">
        <v>0</v>
      </c>
      <c r="F392" s="91">
        <v>1</v>
      </c>
      <c r="G392" s="91" t="s">
        <v>81</v>
      </c>
      <c r="H392" s="92">
        <v>2</v>
      </c>
      <c r="I392" s="92">
        <v>1</v>
      </c>
      <c r="J392" s="92">
        <v>2</v>
      </c>
      <c r="K392" s="92">
        <v>151.55000000000001</v>
      </c>
      <c r="L392" s="92" t="s">
        <v>75</v>
      </c>
      <c r="M392" s="92" t="s">
        <v>82</v>
      </c>
      <c r="N392" s="92" t="s">
        <v>89</v>
      </c>
      <c r="O392" s="92" t="b">
        <v>0</v>
      </c>
      <c r="P392" s="92" t="s">
        <v>78</v>
      </c>
      <c r="Q392" s="92" t="s">
        <v>79</v>
      </c>
      <c r="R392" s="92" t="s">
        <v>80</v>
      </c>
      <c r="S392" s="92" t="b">
        <v>0</v>
      </c>
      <c r="T392" s="100">
        <v>0</v>
      </c>
      <c r="U392" s="100">
        <v>5.3600108242379909E+18</v>
      </c>
      <c r="V392" s="100"/>
    </row>
    <row r="393" spans="4:22" ht="15" customHeight="1">
      <c r="D393" s="98" t="b">
        <v>0</v>
      </c>
      <c r="E393" s="93">
        <v>1</v>
      </c>
      <c r="F393" s="91">
        <v>1</v>
      </c>
      <c r="G393" s="91" t="s">
        <v>74</v>
      </c>
      <c r="H393" s="92"/>
      <c r="I393" s="92">
        <v>0</v>
      </c>
      <c r="J393" s="92">
        <v>0</v>
      </c>
      <c r="K393" s="92">
        <v>30.5</v>
      </c>
      <c r="L393" s="92" t="s">
        <v>75</v>
      </c>
      <c r="M393" s="92" t="s">
        <v>82</v>
      </c>
      <c r="N393" s="92" t="s">
        <v>77</v>
      </c>
      <c r="O393" s="92" t="b">
        <v>1</v>
      </c>
      <c r="P393" s="92" t="s">
        <v>78</v>
      </c>
      <c r="Q393" s="92" t="s">
        <v>79</v>
      </c>
      <c r="R393" s="92" t="s">
        <v>85</v>
      </c>
      <c r="S393" s="92" t="b">
        <v>1</v>
      </c>
      <c r="T393" s="100">
        <v>1</v>
      </c>
      <c r="U393" s="100">
        <v>7.7890926398025789E+18</v>
      </c>
      <c r="V393" s="100"/>
    </row>
    <row r="394" spans="4:22" ht="15" customHeight="1">
      <c r="D394" s="98" t="b">
        <v>0</v>
      </c>
      <c r="E394" s="93">
        <v>1</v>
      </c>
      <c r="F394" s="91">
        <v>1</v>
      </c>
      <c r="G394" s="91" t="s">
        <v>81</v>
      </c>
      <c r="H394" s="92">
        <v>50</v>
      </c>
      <c r="I394" s="92">
        <v>0</v>
      </c>
      <c r="J394" s="92">
        <v>1</v>
      </c>
      <c r="K394" s="92">
        <v>247.52080000000001</v>
      </c>
      <c r="L394" s="92" t="s">
        <v>78</v>
      </c>
      <c r="M394" s="92" t="s">
        <v>82</v>
      </c>
      <c r="N394" s="92" t="s">
        <v>83</v>
      </c>
      <c r="O394" s="92" t="b">
        <v>0</v>
      </c>
      <c r="P394" s="92" t="s">
        <v>94</v>
      </c>
      <c r="Q394" s="92" t="s">
        <v>84</v>
      </c>
      <c r="R394" s="92" t="s">
        <v>85</v>
      </c>
      <c r="S394" s="92" t="b">
        <v>0</v>
      </c>
      <c r="T394" s="100">
        <v>0</v>
      </c>
      <c r="U394" s="100">
        <v>2.8246542966785475E+18</v>
      </c>
      <c r="V394" s="100"/>
    </row>
    <row r="395" spans="4:22" ht="15" customHeight="1">
      <c r="D395" s="98" t="b">
        <v>0</v>
      </c>
      <c r="E395" s="93">
        <v>1</v>
      </c>
      <c r="F395" s="91">
        <v>3</v>
      </c>
      <c r="G395" s="91" t="s">
        <v>81</v>
      </c>
      <c r="H395" s="92"/>
      <c r="I395" s="92">
        <v>0</v>
      </c>
      <c r="J395" s="92">
        <v>0</v>
      </c>
      <c r="K395" s="92">
        <v>7.75</v>
      </c>
      <c r="L395" s="92" t="s">
        <v>86</v>
      </c>
      <c r="M395" s="92" t="s">
        <v>76</v>
      </c>
      <c r="N395" s="92" t="s">
        <v>83</v>
      </c>
      <c r="O395" s="92" t="b">
        <v>0</v>
      </c>
      <c r="P395" s="92"/>
      <c r="Q395" s="92" t="s">
        <v>87</v>
      </c>
      <c r="R395" s="92" t="s">
        <v>85</v>
      </c>
      <c r="S395" s="92" t="b">
        <v>1</v>
      </c>
      <c r="T395" s="100">
        <v>1</v>
      </c>
      <c r="U395" s="100">
        <v>9.0824774226500116E+18</v>
      </c>
      <c r="V395" s="100"/>
    </row>
    <row r="396" spans="4:22" ht="15" customHeight="1">
      <c r="D396" s="98" t="b">
        <v>0</v>
      </c>
      <c r="E396" s="93">
        <v>1</v>
      </c>
      <c r="F396" s="91">
        <v>3</v>
      </c>
      <c r="G396" s="91" t="s">
        <v>74</v>
      </c>
      <c r="H396" s="92"/>
      <c r="I396" s="92">
        <v>2</v>
      </c>
      <c r="J396" s="92">
        <v>0</v>
      </c>
      <c r="K396" s="92">
        <v>23.25</v>
      </c>
      <c r="L396" s="92" t="s">
        <v>86</v>
      </c>
      <c r="M396" s="92" t="s">
        <v>76</v>
      </c>
      <c r="N396" s="92" t="s">
        <v>77</v>
      </c>
      <c r="O396" s="92" t="b">
        <v>1</v>
      </c>
      <c r="P396" s="92"/>
      <c r="Q396" s="92" t="s">
        <v>87</v>
      </c>
      <c r="R396" s="92" t="s">
        <v>85</v>
      </c>
      <c r="S396" s="92" t="b">
        <v>0</v>
      </c>
      <c r="T396" s="100">
        <v>1</v>
      </c>
      <c r="U396" s="100">
        <v>4.9498875632572552E+16</v>
      </c>
      <c r="V396" s="100"/>
    </row>
    <row r="397" spans="4:22" ht="15" customHeight="1">
      <c r="D397" s="98" t="b">
        <v>0</v>
      </c>
      <c r="E397" s="93">
        <v>0</v>
      </c>
      <c r="F397" s="91">
        <v>3</v>
      </c>
      <c r="G397" s="91" t="s">
        <v>74</v>
      </c>
      <c r="H397" s="92">
        <v>19</v>
      </c>
      <c r="I397" s="92">
        <v>0</v>
      </c>
      <c r="J397" s="92">
        <v>0</v>
      </c>
      <c r="K397" s="92">
        <v>0</v>
      </c>
      <c r="L397" s="92" t="s">
        <v>75</v>
      </c>
      <c r="M397" s="92" t="s">
        <v>76</v>
      </c>
      <c r="N397" s="92" t="s">
        <v>77</v>
      </c>
      <c r="O397" s="92" t="b">
        <v>1</v>
      </c>
      <c r="P397" s="92"/>
      <c r="Q397" s="92" t="s">
        <v>79</v>
      </c>
      <c r="R397" s="92" t="s">
        <v>80</v>
      </c>
      <c r="S397" s="92" t="b">
        <v>1</v>
      </c>
      <c r="T397" s="100">
        <v>1</v>
      </c>
      <c r="U397" s="100">
        <v>6.791556291975554E+18</v>
      </c>
      <c r="V397" s="100"/>
    </row>
    <row r="398" spans="4:22" ht="15" customHeight="1">
      <c r="D398" s="98" t="b">
        <v>0</v>
      </c>
      <c r="E398" s="93">
        <v>1</v>
      </c>
      <c r="F398" s="91">
        <v>2</v>
      </c>
      <c r="G398" s="91" t="s">
        <v>81</v>
      </c>
      <c r="H398" s="92"/>
      <c r="I398" s="92">
        <v>0</v>
      </c>
      <c r="J398" s="92">
        <v>0</v>
      </c>
      <c r="K398" s="92">
        <v>12.35</v>
      </c>
      <c r="L398" s="92" t="s">
        <v>86</v>
      </c>
      <c r="M398" s="92" t="s">
        <v>90</v>
      </c>
      <c r="N398" s="92" t="s">
        <v>83</v>
      </c>
      <c r="O398" s="92" t="b">
        <v>0</v>
      </c>
      <c r="P398" s="92" t="s">
        <v>88</v>
      </c>
      <c r="Q398" s="92" t="s">
        <v>87</v>
      </c>
      <c r="R398" s="92" t="s">
        <v>85</v>
      </c>
      <c r="S398" s="92" t="b">
        <v>1</v>
      </c>
      <c r="T398" s="100">
        <v>1</v>
      </c>
      <c r="U398" s="100">
        <v>2.6296750178230569E+18</v>
      </c>
      <c r="V398" s="100"/>
    </row>
    <row r="399" spans="4:22" ht="15" customHeight="1">
      <c r="D399" s="98" t="b">
        <v>0</v>
      </c>
      <c r="E399" s="93">
        <v>0</v>
      </c>
      <c r="F399" s="91">
        <v>3</v>
      </c>
      <c r="G399" s="91" t="s">
        <v>74</v>
      </c>
      <c r="H399" s="92"/>
      <c r="I399" s="92">
        <v>0</v>
      </c>
      <c r="J399" s="92">
        <v>0</v>
      </c>
      <c r="K399" s="92">
        <v>8.0500000000000007</v>
      </c>
      <c r="L399" s="92" t="s">
        <v>75</v>
      </c>
      <c r="M399" s="92" t="s">
        <v>76</v>
      </c>
      <c r="N399" s="92" t="s">
        <v>77</v>
      </c>
      <c r="O399" s="92" t="b">
        <v>1</v>
      </c>
      <c r="P399" s="92"/>
      <c r="Q399" s="92" t="s">
        <v>79</v>
      </c>
      <c r="R399" s="92" t="s">
        <v>80</v>
      </c>
      <c r="S399" s="92" t="b">
        <v>1</v>
      </c>
      <c r="T399" s="100">
        <v>1</v>
      </c>
      <c r="U399" s="100">
        <v>1.036563458869572E+19</v>
      </c>
      <c r="V399" s="100"/>
    </row>
    <row r="400" spans="4:22" ht="15" customHeight="1">
      <c r="D400" s="98" t="b">
        <v>0</v>
      </c>
      <c r="E400" s="93">
        <v>1</v>
      </c>
      <c r="F400" s="91">
        <v>1</v>
      </c>
      <c r="G400" s="91" t="s">
        <v>81</v>
      </c>
      <c r="H400" s="92"/>
      <c r="I400" s="92">
        <v>0</v>
      </c>
      <c r="J400" s="92">
        <v>0</v>
      </c>
      <c r="K400" s="92">
        <v>110.88330000000001</v>
      </c>
      <c r="L400" s="92" t="s">
        <v>78</v>
      </c>
      <c r="M400" s="92" t="s">
        <v>82</v>
      </c>
      <c r="N400" s="92" t="s">
        <v>83</v>
      </c>
      <c r="O400" s="92" t="b">
        <v>0</v>
      </c>
      <c r="P400" s="92"/>
      <c r="Q400" s="92" t="s">
        <v>84</v>
      </c>
      <c r="R400" s="92" t="s">
        <v>85</v>
      </c>
      <c r="S400" s="92" t="b">
        <v>1</v>
      </c>
      <c r="T400" s="100">
        <v>1</v>
      </c>
      <c r="U400" s="100">
        <v>1.4995051551227314E+19</v>
      </c>
      <c r="V400" s="100"/>
    </row>
    <row r="401" spans="4:22" ht="15" customHeight="1">
      <c r="D401" s="98" t="b">
        <v>0</v>
      </c>
      <c r="E401" s="93">
        <v>1</v>
      </c>
      <c r="F401" s="91">
        <v>1</v>
      </c>
      <c r="G401" s="91" t="s">
        <v>81</v>
      </c>
      <c r="H401" s="92">
        <v>17</v>
      </c>
      <c r="I401" s="92">
        <v>1</v>
      </c>
      <c r="J401" s="92">
        <v>0</v>
      </c>
      <c r="K401" s="92">
        <v>108.9</v>
      </c>
      <c r="L401" s="92" t="s">
        <v>78</v>
      </c>
      <c r="M401" s="92" t="s">
        <v>82</v>
      </c>
      <c r="N401" s="92" t="s">
        <v>83</v>
      </c>
      <c r="O401" s="92" t="b">
        <v>0</v>
      </c>
      <c r="P401" s="92" t="s">
        <v>78</v>
      </c>
      <c r="Q401" s="92" t="s">
        <v>84</v>
      </c>
      <c r="R401" s="92" t="s">
        <v>85</v>
      </c>
      <c r="S401" s="92" t="b">
        <v>0</v>
      </c>
      <c r="T401" s="100">
        <v>0</v>
      </c>
      <c r="U401" s="100">
        <v>1.393141009938408E+19</v>
      </c>
      <c r="V401" s="100"/>
    </row>
    <row r="402" spans="4:22" ht="15" customHeight="1">
      <c r="D402" s="98" t="b">
        <v>0</v>
      </c>
      <c r="E402" s="93">
        <v>0</v>
      </c>
      <c r="F402" s="91">
        <v>2</v>
      </c>
      <c r="G402" s="91" t="s">
        <v>74</v>
      </c>
      <c r="H402" s="92">
        <v>30</v>
      </c>
      <c r="I402" s="92">
        <v>1</v>
      </c>
      <c r="J402" s="92">
        <v>0</v>
      </c>
      <c r="K402" s="92">
        <v>24</v>
      </c>
      <c r="L402" s="92" t="s">
        <v>78</v>
      </c>
      <c r="M402" s="92" t="s">
        <v>90</v>
      </c>
      <c r="N402" s="92" t="s">
        <v>77</v>
      </c>
      <c r="O402" s="92" t="b">
        <v>1</v>
      </c>
      <c r="P402" s="92"/>
      <c r="Q402" s="92" t="s">
        <v>84</v>
      </c>
      <c r="R402" s="92" t="s">
        <v>80</v>
      </c>
      <c r="S402" s="92" t="b">
        <v>0</v>
      </c>
      <c r="T402" s="100">
        <v>1</v>
      </c>
      <c r="U402" s="100">
        <v>7.892980117445079E+18</v>
      </c>
      <c r="V402" s="100"/>
    </row>
    <row r="403" spans="4:22" ht="15" customHeight="1">
      <c r="D403" s="98" t="b">
        <v>0</v>
      </c>
      <c r="E403" s="93">
        <v>1</v>
      </c>
      <c r="F403" s="91">
        <v>1</v>
      </c>
      <c r="G403" s="91" t="s">
        <v>81</v>
      </c>
      <c r="H403" s="92">
        <v>30</v>
      </c>
      <c r="I403" s="92">
        <v>0</v>
      </c>
      <c r="J403" s="92">
        <v>0</v>
      </c>
      <c r="K403" s="92">
        <v>56.929200000000002</v>
      </c>
      <c r="L403" s="92" t="s">
        <v>78</v>
      </c>
      <c r="M403" s="92" t="s">
        <v>82</v>
      </c>
      <c r="N403" s="92" t="s">
        <v>83</v>
      </c>
      <c r="O403" s="92" t="b">
        <v>0</v>
      </c>
      <c r="P403" s="92" t="s">
        <v>88</v>
      </c>
      <c r="Q403" s="92" t="s">
        <v>84</v>
      </c>
      <c r="R403" s="92" t="s">
        <v>85</v>
      </c>
      <c r="S403" s="92" t="b">
        <v>1</v>
      </c>
      <c r="T403" s="100">
        <v>0</v>
      </c>
      <c r="U403" s="100">
        <v>4.4344498473336509E+18</v>
      </c>
      <c r="V403" s="100"/>
    </row>
    <row r="404" spans="4:22" ht="15" customHeight="1">
      <c r="D404" s="98" t="b">
        <v>0</v>
      </c>
      <c r="E404" s="93">
        <v>1</v>
      </c>
      <c r="F404" s="91">
        <v>1</v>
      </c>
      <c r="G404" s="91" t="s">
        <v>81</v>
      </c>
      <c r="H404" s="92">
        <v>24</v>
      </c>
      <c r="I404" s="92">
        <v>0</v>
      </c>
      <c r="J404" s="92">
        <v>0</v>
      </c>
      <c r="K404" s="92">
        <v>83.158299999999997</v>
      </c>
      <c r="L404" s="92" t="s">
        <v>78</v>
      </c>
      <c r="M404" s="92" t="s">
        <v>82</v>
      </c>
      <c r="N404" s="92" t="s">
        <v>83</v>
      </c>
      <c r="O404" s="92" t="b">
        <v>0</v>
      </c>
      <c r="P404" s="92" t="s">
        <v>78</v>
      </c>
      <c r="Q404" s="92" t="s">
        <v>84</v>
      </c>
      <c r="R404" s="92" t="s">
        <v>85</v>
      </c>
      <c r="S404" s="92" t="b">
        <v>1</v>
      </c>
      <c r="T404" s="100">
        <v>0</v>
      </c>
      <c r="U404" s="100">
        <v>3.4720251977735276E+18</v>
      </c>
      <c r="V404" s="100"/>
    </row>
    <row r="405" spans="4:22" ht="15" customHeight="1">
      <c r="D405" s="98" t="b">
        <v>0</v>
      </c>
      <c r="E405" s="93">
        <v>1</v>
      </c>
      <c r="F405" s="91">
        <v>1</v>
      </c>
      <c r="G405" s="91" t="s">
        <v>81</v>
      </c>
      <c r="H405" s="92">
        <v>18</v>
      </c>
      <c r="I405" s="92">
        <v>2</v>
      </c>
      <c r="J405" s="92">
        <v>2</v>
      </c>
      <c r="K405" s="92">
        <v>262.375</v>
      </c>
      <c r="L405" s="92" t="s">
        <v>78</v>
      </c>
      <c r="M405" s="92" t="s">
        <v>82</v>
      </c>
      <c r="N405" s="92" t="s">
        <v>83</v>
      </c>
      <c r="O405" s="92" t="b">
        <v>0</v>
      </c>
      <c r="P405" s="92" t="s">
        <v>94</v>
      </c>
      <c r="Q405" s="92" t="s">
        <v>84</v>
      </c>
      <c r="R405" s="92" t="s">
        <v>85</v>
      </c>
      <c r="S405" s="92" t="b">
        <v>0</v>
      </c>
      <c r="T405" s="100">
        <v>0</v>
      </c>
      <c r="U405" s="100">
        <v>1.132079628657409E+19</v>
      </c>
      <c r="V405" s="100"/>
    </row>
    <row r="406" spans="4:22" ht="15" customHeight="1">
      <c r="D406" s="98" t="b">
        <v>0</v>
      </c>
      <c r="E406" s="93">
        <v>0</v>
      </c>
      <c r="F406" s="91">
        <v>2</v>
      </c>
      <c r="G406" s="91" t="s">
        <v>81</v>
      </c>
      <c r="H406" s="92">
        <v>26</v>
      </c>
      <c r="I406" s="92">
        <v>1</v>
      </c>
      <c r="J406" s="92">
        <v>1</v>
      </c>
      <c r="K406" s="92">
        <v>26</v>
      </c>
      <c r="L406" s="92" t="s">
        <v>75</v>
      </c>
      <c r="M406" s="92" t="s">
        <v>90</v>
      </c>
      <c r="N406" s="92" t="s">
        <v>83</v>
      </c>
      <c r="O406" s="92" t="b">
        <v>0</v>
      </c>
      <c r="P406" s="92"/>
      <c r="Q406" s="92" t="s">
        <v>79</v>
      </c>
      <c r="R406" s="92" t="s">
        <v>80</v>
      </c>
      <c r="S406" s="92" t="b">
        <v>0</v>
      </c>
      <c r="T406" s="100">
        <v>1</v>
      </c>
      <c r="U406" s="100">
        <v>1.6134297380822176E+19</v>
      </c>
      <c r="V406" s="100"/>
    </row>
    <row r="407" spans="4:22" ht="15" customHeight="1">
      <c r="D407" s="98" t="b">
        <v>0</v>
      </c>
      <c r="E407" s="93">
        <v>0</v>
      </c>
      <c r="F407" s="91">
        <v>3</v>
      </c>
      <c r="G407" s="91" t="s">
        <v>74</v>
      </c>
      <c r="H407" s="92">
        <v>28</v>
      </c>
      <c r="I407" s="92">
        <v>0</v>
      </c>
      <c r="J407" s="92">
        <v>0</v>
      </c>
      <c r="K407" s="92">
        <v>7.8958000000000004</v>
      </c>
      <c r="L407" s="92" t="s">
        <v>75</v>
      </c>
      <c r="M407" s="92" t="s">
        <v>76</v>
      </c>
      <c r="N407" s="92" t="s">
        <v>77</v>
      </c>
      <c r="O407" s="92" t="b">
        <v>1</v>
      </c>
      <c r="P407" s="92"/>
      <c r="Q407" s="92" t="s">
        <v>79</v>
      </c>
      <c r="R407" s="92" t="s">
        <v>80</v>
      </c>
      <c r="S407" s="92" t="b">
        <v>1</v>
      </c>
      <c r="T407" s="100">
        <v>1</v>
      </c>
      <c r="U407" s="100">
        <v>8.8017583993877258E+18</v>
      </c>
      <c r="V407" s="100"/>
    </row>
    <row r="408" spans="4:22" ht="15" customHeight="1">
      <c r="D408" s="98" t="b">
        <v>0</v>
      </c>
      <c r="E408" s="93">
        <v>0</v>
      </c>
      <c r="F408" s="91">
        <v>2</v>
      </c>
      <c r="G408" s="91" t="s">
        <v>74</v>
      </c>
      <c r="H408" s="92">
        <v>43</v>
      </c>
      <c r="I408" s="92">
        <v>1</v>
      </c>
      <c r="J408" s="92">
        <v>1</v>
      </c>
      <c r="K408" s="92">
        <v>26.25</v>
      </c>
      <c r="L408" s="92" t="s">
        <v>75</v>
      </c>
      <c r="M408" s="92" t="s">
        <v>90</v>
      </c>
      <c r="N408" s="92" t="s">
        <v>77</v>
      </c>
      <c r="O408" s="92" t="b">
        <v>1</v>
      </c>
      <c r="P408" s="92"/>
      <c r="Q408" s="92" t="s">
        <v>79</v>
      </c>
      <c r="R408" s="92" t="s">
        <v>80</v>
      </c>
      <c r="S408" s="92" t="b">
        <v>0</v>
      </c>
      <c r="T408" s="100">
        <v>1</v>
      </c>
      <c r="U408" s="100">
        <v>1.5827107697418013E+19</v>
      </c>
      <c r="V408" s="100"/>
    </row>
    <row r="409" spans="4:22" ht="15" customHeight="1">
      <c r="D409" s="98" t="b">
        <v>0</v>
      </c>
      <c r="E409" s="93">
        <v>1</v>
      </c>
      <c r="F409" s="91">
        <v>3</v>
      </c>
      <c r="G409" s="91" t="s">
        <v>81</v>
      </c>
      <c r="H409" s="92">
        <v>26</v>
      </c>
      <c r="I409" s="92">
        <v>0</v>
      </c>
      <c r="J409" s="92">
        <v>0</v>
      </c>
      <c r="K409" s="92">
        <v>7.8541999999999996</v>
      </c>
      <c r="L409" s="92" t="s">
        <v>75</v>
      </c>
      <c r="M409" s="92" t="s">
        <v>76</v>
      </c>
      <c r="N409" s="92" t="s">
        <v>83</v>
      </c>
      <c r="O409" s="92" t="b">
        <v>0</v>
      </c>
      <c r="P409" s="92"/>
      <c r="Q409" s="92" t="s">
        <v>79</v>
      </c>
      <c r="R409" s="92" t="s">
        <v>85</v>
      </c>
      <c r="S409" s="92" t="b">
        <v>1</v>
      </c>
      <c r="T409" s="100">
        <v>1</v>
      </c>
      <c r="U409" s="100">
        <v>1.7957377789572493E+19</v>
      </c>
      <c r="V409" s="100"/>
    </row>
    <row r="410" spans="4:22" ht="15" customHeight="1">
      <c r="D410" s="98" t="b">
        <v>0</v>
      </c>
      <c r="E410" s="93">
        <v>1</v>
      </c>
      <c r="F410" s="91">
        <v>2</v>
      </c>
      <c r="G410" s="91" t="s">
        <v>81</v>
      </c>
      <c r="H410" s="92">
        <v>24</v>
      </c>
      <c r="I410" s="92">
        <v>1</v>
      </c>
      <c r="J410" s="92">
        <v>0</v>
      </c>
      <c r="K410" s="92">
        <v>26</v>
      </c>
      <c r="L410" s="92" t="s">
        <v>75</v>
      </c>
      <c r="M410" s="92" t="s">
        <v>90</v>
      </c>
      <c r="N410" s="92" t="s">
        <v>83</v>
      </c>
      <c r="O410" s="92" t="b">
        <v>0</v>
      </c>
      <c r="P410" s="92"/>
      <c r="Q410" s="92" t="s">
        <v>79</v>
      </c>
      <c r="R410" s="92" t="s">
        <v>85</v>
      </c>
      <c r="S410" s="92" t="b">
        <v>0</v>
      </c>
      <c r="T410" s="100">
        <v>1</v>
      </c>
      <c r="U410" s="100">
        <v>8.1032959541914788E+18</v>
      </c>
      <c r="V410" s="100"/>
    </row>
    <row r="411" spans="4:22" ht="15" customHeight="1">
      <c r="D411" s="98" t="b">
        <v>0</v>
      </c>
      <c r="E411" s="93">
        <v>0</v>
      </c>
      <c r="F411" s="91">
        <v>2</v>
      </c>
      <c r="G411" s="91" t="s">
        <v>74</v>
      </c>
      <c r="H411" s="92">
        <v>54</v>
      </c>
      <c r="I411" s="92">
        <v>0</v>
      </c>
      <c r="J411" s="92">
        <v>0</v>
      </c>
      <c r="K411" s="92">
        <v>14</v>
      </c>
      <c r="L411" s="92" t="s">
        <v>75</v>
      </c>
      <c r="M411" s="92" t="s">
        <v>90</v>
      </c>
      <c r="N411" s="92" t="s">
        <v>77</v>
      </c>
      <c r="O411" s="92" t="b">
        <v>1</v>
      </c>
      <c r="P411" s="92"/>
      <c r="Q411" s="92" t="s">
        <v>79</v>
      </c>
      <c r="R411" s="92" t="s">
        <v>80</v>
      </c>
      <c r="S411" s="92" t="b">
        <v>1</v>
      </c>
      <c r="T411" s="100">
        <v>1</v>
      </c>
      <c r="U411" s="100">
        <v>1.4090440031031843E+19</v>
      </c>
      <c r="V411" s="100"/>
    </row>
    <row r="412" spans="4:22" ht="15" customHeight="1">
      <c r="D412" s="98" t="b">
        <v>0</v>
      </c>
      <c r="E412" s="93">
        <v>1</v>
      </c>
      <c r="F412" s="91">
        <v>1</v>
      </c>
      <c r="G412" s="91" t="s">
        <v>81</v>
      </c>
      <c r="H412" s="92">
        <v>31</v>
      </c>
      <c r="I412" s="92">
        <v>0</v>
      </c>
      <c r="J412" s="92">
        <v>2</v>
      </c>
      <c r="K412" s="92">
        <v>164.86670000000001</v>
      </c>
      <c r="L412" s="92" t="s">
        <v>75</v>
      </c>
      <c r="M412" s="92" t="s">
        <v>82</v>
      </c>
      <c r="N412" s="92" t="s">
        <v>83</v>
      </c>
      <c r="O412" s="92" t="b">
        <v>0</v>
      </c>
      <c r="P412" s="92" t="s">
        <v>78</v>
      </c>
      <c r="Q412" s="92" t="s">
        <v>79</v>
      </c>
      <c r="R412" s="92" t="s">
        <v>85</v>
      </c>
      <c r="S412" s="92" t="b">
        <v>0</v>
      </c>
      <c r="T412" s="100">
        <v>0</v>
      </c>
      <c r="U412" s="100">
        <v>1.6935559260841841E+19</v>
      </c>
      <c r="V412" s="100"/>
    </row>
    <row r="413" spans="4:22" ht="15" customHeight="1">
      <c r="D413" s="98" t="b">
        <v>0</v>
      </c>
      <c r="E413" s="93">
        <v>1</v>
      </c>
      <c r="F413" s="91">
        <v>1</v>
      </c>
      <c r="G413" s="91" t="s">
        <v>81</v>
      </c>
      <c r="H413" s="92">
        <v>40</v>
      </c>
      <c r="I413" s="92">
        <v>1</v>
      </c>
      <c r="J413" s="92">
        <v>1</v>
      </c>
      <c r="K413" s="92">
        <v>134.5</v>
      </c>
      <c r="L413" s="92" t="s">
        <v>78</v>
      </c>
      <c r="M413" s="92" t="s">
        <v>82</v>
      </c>
      <c r="N413" s="92" t="s">
        <v>83</v>
      </c>
      <c r="O413" s="92" t="b">
        <v>0</v>
      </c>
      <c r="P413" s="92" t="s">
        <v>88</v>
      </c>
      <c r="Q413" s="92" t="s">
        <v>84</v>
      </c>
      <c r="R413" s="92" t="s">
        <v>85</v>
      </c>
      <c r="S413" s="92" t="b">
        <v>0</v>
      </c>
      <c r="T413" s="100">
        <v>0</v>
      </c>
      <c r="U413" s="100">
        <v>1.1351820845497637E+19</v>
      </c>
      <c r="V413" s="100"/>
    </row>
    <row r="414" spans="4:22" ht="15" customHeight="1">
      <c r="D414" s="98" t="b">
        <v>0</v>
      </c>
      <c r="E414" s="93">
        <v>0</v>
      </c>
      <c r="F414" s="91">
        <v>3</v>
      </c>
      <c r="G414" s="91" t="s">
        <v>74</v>
      </c>
      <c r="H414" s="92">
        <v>22</v>
      </c>
      <c r="I414" s="92">
        <v>0</v>
      </c>
      <c r="J414" s="92">
        <v>0</v>
      </c>
      <c r="K414" s="92">
        <v>7.25</v>
      </c>
      <c r="L414" s="92" t="s">
        <v>75</v>
      </c>
      <c r="M414" s="92" t="s">
        <v>76</v>
      </c>
      <c r="N414" s="92" t="s">
        <v>77</v>
      </c>
      <c r="O414" s="92" t="b">
        <v>1</v>
      </c>
      <c r="P414" s="92"/>
      <c r="Q414" s="92" t="s">
        <v>79</v>
      </c>
      <c r="R414" s="92" t="s">
        <v>80</v>
      </c>
      <c r="S414" s="92" t="b">
        <v>1</v>
      </c>
      <c r="T414" s="100">
        <v>1</v>
      </c>
      <c r="U414" s="100">
        <v>9.2177959346448876E+18</v>
      </c>
      <c r="V414" s="100"/>
    </row>
    <row r="415" spans="4:22" ht="15" customHeight="1">
      <c r="D415" s="98" t="b">
        <v>0</v>
      </c>
      <c r="E415" s="93">
        <v>0</v>
      </c>
      <c r="F415" s="91">
        <v>3</v>
      </c>
      <c r="G415" s="91" t="s">
        <v>74</v>
      </c>
      <c r="H415" s="92">
        <v>27</v>
      </c>
      <c r="I415" s="92">
        <v>0</v>
      </c>
      <c r="J415" s="92">
        <v>0</v>
      </c>
      <c r="K415" s="92">
        <v>7.8958000000000004</v>
      </c>
      <c r="L415" s="92" t="s">
        <v>75</v>
      </c>
      <c r="M415" s="92" t="s">
        <v>76</v>
      </c>
      <c r="N415" s="92" t="s">
        <v>77</v>
      </c>
      <c r="O415" s="92" t="b">
        <v>1</v>
      </c>
      <c r="P415" s="92"/>
      <c r="Q415" s="92" t="s">
        <v>79</v>
      </c>
      <c r="R415" s="92" t="s">
        <v>80</v>
      </c>
      <c r="S415" s="92" t="b">
        <v>1</v>
      </c>
      <c r="T415" s="100">
        <v>1</v>
      </c>
      <c r="U415" s="100">
        <v>1.3390789684921872E+19</v>
      </c>
      <c r="V415" s="100"/>
    </row>
    <row r="416" spans="4:22" ht="15" customHeight="1">
      <c r="D416" s="98" t="b">
        <v>0</v>
      </c>
      <c r="E416" s="93">
        <v>1</v>
      </c>
      <c r="F416" s="91">
        <v>2</v>
      </c>
      <c r="G416" s="91" t="s">
        <v>81</v>
      </c>
      <c r="H416" s="92">
        <v>30</v>
      </c>
      <c r="I416" s="92">
        <v>0</v>
      </c>
      <c r="J416" s="92">
        <v>0</v>
      </c>
      <c r="K416" s="92">
        <v>12.35</v>
      </c>
      <c r="L416" s="92" t="s">
        <v>86</v>
      </c>
      <c r="M416" s="92" t="s">
        <v>90</v>
      </c>
      <c r="N416" s="92" t="s">
        <v>83</v>
      </c>
      <c r="O416" s="92" t="b">
        <v>0</v>
      </c>
      <c r="P416" s="92"/>
      <c r="Q416" s="92" t="s">
        <v>87</v>
      </c>
      <c r="R416" s="92" t="s">
        <v>85</v>
      </c>
      <c r="S416" s="92" t="b">
        <v>1</v>
      </c>
      <c r="T416" s="100">
        <v>1</v>
      </c>
      <c r="U416" s="100">
        <v>1.0680222300677497E+19</v>
      </c>
      <c r="V416" s="100"/>
    </row>
    <row r="417" spans="4:22" ht="15" customHeight="1">
      <c r="D417" s="98" t="b">
        <v>0</v>
      </c>
      <c r="E417" s="93">
        <v>1</v>
      </c>
      <c r="F417" s="91">
        <v>2</v>
      </c>
      <c r="G417" s="91" t="s">
        <v>81</v>
      </c>
      <c r="H417" s="92">
        <v>22</v>
      </c>
      <c r="I417" s="92">
        <v>1</v>
      </c>
      <c r="J417" s="92">
        <v>1</v>
      </c>
      <c r="K417" s="92">
        <v>29</v>
      </c>
      <c r="L417" s="92" t="s">
        <v>75</v>
      </c>
      <c r="M417" s="92" t="s">
        <v>90</v>
      </c>
      <c r="N417" s="92" t="s">
        <v>83</v>
      </c>
      <c r="O417" s="92" t="b">
        <v>0</v>
      </c>
      <c r="P417" s="92"/>
      <c r="Q417" s="92" t="s">
        <v>79</v>
      </c>
      <c r="R417" s="92" t="s">
        <v>85</v>
      </c>
      <c r="S417" s="92" t="b">
        <v>0</v>
      </c>
      <c r="T417" s="100">
        <v>1</v>
      </c>
      <c r="U417" s="100">
        <v>1.3493845020112271E+19</v>
      </c>
      <c r="V417" s="100"/>
    </row>
    <row r="418" spans="4:22" ht="15" customHeight="1">
      <c r="D418" s="98" t="b">
        <v>0</v>
      </c>
      <c r="E418" s="93">
        <v>0</v>
      </c>
      <c r="F418" s="91">
        <v>3</v>
      </c>
      <c r="G418" s="91" t="s">
        <v>74</v>
      </c>
      <c r="H418" s="92"/>
      <c r="I418" s="92">
        <v>8</v>
      </c>
      <c r="J418" s="92">
        <v>2</v>
      </c>
      <c r="K418" s="92">
        <v>69.55</v>
      </c>
      <c r="L418" s="92" t="s">
        <v>75</v>
      </c>
      <c r="M418" s="92" t="s">
        <v>76</v>
      </c>
      <c r="N418" s="92" t="s">
        <v>77</v>
      </c>
      <c r="O418" s="92" t="b">
        <v>1</v>
      </c>
      <c r="P418" s="92"/>
      <c r="Q418" s="92" t="s">
        <v>79</v>
      </c>
      <c r="R418" s="92" t="s">
        <v>80</v>
      </c>
      <c r="S418" s="92" t="b">
        <v>0</v>
      </c>
      <c r="T418" s="100">
        <v>1</v>
      </c>
      <c r="U418" s="100">
        <v>1.4267608982933174E+18</v>
      </c>
      <c r="V418" s="100"/>
    </row>
    <row r="419" spans="4:22" ht="15" customHeight="1">
      <c r="D419" s="98" t="b">
        <v>0</v>
      </c>
      <c r="E419" s="93">
        <v>1</v>
      </c>
      <c r="F419" s="91">
        <v>1</v>
      </c>
      <c r="G419" s="91" t="s">
        <v>81</v>
      </c>
      <c r="H419" s="92">
        <v>36</v>
      </c>
      <c r="I419" s="92">
        <v>0</v>
      </c>
      <c r="J419" s="92">
        <v>0</v>
      </c>
      <c r="K419" s="92">
        <v>135.63329999999999</v>
      </c>
      <c r="L419" s="92" t="s">
        <v>78</v>
      </c>
      <c r="M419" s="92" t="s">
        <v>82</v>
      </c>
      <c r="N419" s="92" t="s">
        <v>83</v>
      </c>
      <c r="O419" s="92" t="b">
        <v>0</v>
      </c>
      <c r="P419" s="92" t="s">
        <v>78</v>
      </c>
      <c r="Q419" s="92" t="s">
        <v>84</v>
      </c>
      <c r="R419" s="92" t="s">
        <v>85</v>
      </c>
      <c r="S419" s="92" t="b">
        <v>1</v>
      </c>
      <c r="T419" s="100">
        <v>0</v>
      </c>
      <c r="U419" s="100">
        <v>1.7990268748148519E+19</v>
      </c>
      <c r="V419" s="100"/>
    </row>
    <row r="420" spans="4:22" ht="15" customHeight="1">
      <c r="D420" s="98" t="b">
        <v>0</v>
      </c>
      <c r="E420" s="93">
        <v>0</v>
      </c>
      <c r="F420" s="91">
        <v>3</v>
      </c>
      <c r="G420" s="91" t="s">
        <v>74</v>
      </c>
      <c r="H420" s="92">
        <v>61</v>
      </c>
      <c r="I420" s="92">
        <v>0</v>
      </c>
      <c r="J420" s="92">
        <v>0</v>
      </c>
      <c r="K420" s="92">
        <v>6.2374999999999998</v>
      </c>
      <c r="L420" s="92" t="s">
        <v>75</v>
      </c>
      <c r="M420" s="92" t="s">
        <v>76</v>
      </c>
      <c r="N420" s="92" t="s">
        <v>77</v>
      </c>
      <c r="O420" s="92" t="b">
        <v>1</v>
      </c>
      <c r="P420" s="92"/>
      <c r="Q420" s="92" t="s">
        <v>79</v>
      </c>
      <c r="R420" s="92" t="s">
        <v>80</v>
      </c>
      <c r="S420" s="92" t="b">
        <v>1</v>
      </c>
      <c r="T420" s="100">
        <v>1</v>
      </c>
      <c r="U420" s="100">
        <v>1.5148237561159934E+19</v>
      </c>
      <c r="V420" s="100"/>
    </row>
    <row r="421" spans="4:22" ht="15" customHeight="1">
      <c r="D421" s="98" t="b">
        <v>0</v>
      </c>
      <c r="E421" s="93">
        <v>1</v>
      </c>
      <c r="F421" s="91">
        <v>2</v>
      </c>
      <c r="G421" s="91" t="s">
        <v>81</v>
      </c>
      <c r="H421" s="92">
        <v>36</v>
      </c>
      <c r="I421" s="92">
        <v>0</v>
      </c>
      <c r="J421" s="92">
        <v>0</v>
      </c>
      <c r="K421" s="92">
        <v>13</v>
      </c>
      <c r="L421" s="92" t="s">
        <v>75</v>
      </c>
      <c r="M421" s="92" t="s">
        <v>90</v>
      </c>
      <c r="N421" s="92" t="s">
        <v>83</v>
      </c>
      <c r="O421" s="92" t="b">
        <v>0</v>
      </c>
      <c r="P421" s="92" t="s">
        <v>92</v>
      </c>
      <c r="Q421" s="92" t="s">
        <v>79</v>
      </c>
      <c r="R421" s="92" t="s">
        <v>85</v>
      </c>
      <c r="S421" s="92" t="b">
        <v>1</v>
      </c>
      <c r="T421" s="100">
        <v>0</v>
      </c>
      <c r="U421" s="100">
        <v>1.3220284112465218E+19</v>
      </c>
      <c r="V421" s="100"/>
    </row>
    <row r="422" spans="4:22" ht="15" customHeight="1">
      <c r="D422" s="98" t="b">
        <v>0</v>
      </c>
      <c r="E422" s="93">
        <v>1</v>
      </c>
      <c r="F422" s="91">
        <v>3</v>
      </c>
      <c r="G422" s="91" t="s">
        <v>81</v>
      </c>
      <c r="H422" s="92">
        <v>31</v>
      </c>
      <c r="I422" s="92">
        <v>1</v>
      </c>
      <c r="J422" s="92">
        <v>1</v>
      </c>
      <c r="K422" s="92">
        <v>20.524999999999999</v>
      </c>
      <c r="L422" s="92" t="s">
        <v>75</v>
      </c>
      <c r="M422" s="92" t="s">
        <v>76</v>
      </c>
      <c r="N422" s="92" t="s">
        <v>83</v>
      </c>
      <c r="O422" s="92" t="b">
        <v>0</v>
      </c>
      <c r="P422" s="92"/>
      <c r="Q422" s="92" t="s">
        <v>79</v>
      </c>
      <c r="R422" s="92" t="s">
        <v>85</v>
      </c>
      <c r="S422" s="92" t="b">
        <v>0</v>
      </c>
      <c r="T422" s="100">
        <v>1</v>
      </c>
      <c r="U422" s="100">
        <v>2.6208916919885732E+18</v>
      </c>
      <c r="V422" s="100"/>
    </row>
    <row r="423" spans="4:22" ht="15" customHeight="1">
      <c r="D423" s="98" t="b">
        <v>0</v>
      </c>
      <c r="E423" s="93">
        <v>1</v>
      </c>
      <c r="F423" s="91">
        <v>1</v>
      </c>
      <c r="G423" s="91" t="s">
        <v>81</v>
      </c>
      <c r="H423" s="92">
        <v>16</v>
      </c>
      <c r="I423" s="92">
        <v>0</v>
      </c>
      <c r="J423" s="92">
        <v>1</v>
      </c>
      <c r="K423" s="92">
        <v>57.979199999999999</v>
      </c>
      <c r="L423" s="92" t="s">
        <v>78</v>
      </c>
      <c r="M423" s="92" t="s">
        <v>82</v>
      </c>
      <c r="N423" s="92" t="s">
        <v>83</v>
      </c>
      <c r="O423" s="92" t="b">
        <v>0</v>
      </c>
      <c r="P423" s="92" t="s">
        <v>94</v>
      </c>
      <c r="Q423" s="92" t="s">
        <v>84</v>
      </c>
      <c r="R423" s="92" t="s">
        <v>85</v>
      </c>
      <c r="S423" s="92" t="b">
        <v>0</v>
      </c>
      <c r="T423" s="100">
        <v>0</v>
      </c>
      <c r="U423" s="100">
        <v>1.0048472301105046E+19</v>
      </c>
      <c r="V423" s="100"/>
    </row>
    <row r="424" spans="4:22" ht="15" customHeight="1">
      <c r="D424" s="98" t="b">
        <v>0</v>
      </c>
      <c r="E424" s="93">
        <v>1</v>
      </c>
      <c r="F424" s="91">
        <v>3</v>
      </c>
      <c r="G424" s="91" t="s">
        <v>81</v>
      </c>
      <c r="H424" s="92"/>
      <c r="I424" s="92">
        <v>2</v>
      </c>
      <c r="J424" s="92">
        <v>0</v>
      </c>
      <c r="K424" s="92">
        <v>23.25</v>
      </c>
      <c r="L424" s="92" t="s">
        <v>86</v>
      </c>
      <c r="M424" s="92" t="s">
        <v>76</v>
      </c>
      <c r="N424" s="92" t="s">
        <v>83</v>
      </c>
      <c r="O424" s="92" t="b">
        <v>0</v>
      </c>
      <c r="P424" s="92"/>
      <c r="Q424" s="92" t="s">
        <v>87</v>
      </c>
      <c r="R424" s="92" t="s">
        <v>85</v>
      </c>
      <c r="S424" s="92" t="b">
        <v>0</v>
      </c>
      <c r="T424" s="100">
        <v>1</v>
      </c>
      <c r="U424" s="100">
        <v>8.5249168026889472E+18</v>
      </c>
      <c r="V424" s="100"/>
    </row>
    <row r="425" spans="4:22" ht="15" customHeight="1">
      <c r="D425" s="98" t="b">
        <v>0</v>
      </c>
      <c r="E425" s="93">
        <v>0</v>
      </c>
      <c r="F425" s="91">
        <v>1</v>
      </c>
      <c r="G425" s="91" t="s">
        <v>74</v>
      </c>
      <c r="H425" s="92">
        <v>38</v>
      </c>
      <c r="I425" s="92">
        <v>0</v>
      </c>
      <c r="J425" s="92">
        <v>1</v>
      </c>
      <c r="K425" s="92">
        <v>153.46250000000001</v>
      </c>
      <c r="L425" s="92" t="s">
        <v>75</v>
      </c>
      <c r="M425" s="92" t="s">
        <v>82</v>
      </c>
      <c r="N425" s="92" t="s">
        <v>77</v>
      </c>
      <c r="O425" s="92" t="b">
        <v>1</v>
      </c>
      <c r="P425" s="92" t="s">
        <v>78</v>
      </c>
      <c r="Q425" s="92" t="s">
        <v>79</v>
      </c>
      <c r="R425" s="92" t="s">
        <v>80</v>
      </c>
      <c r="S425" s="92" t="b">
        <v>0</v>
      </c>
      <c r="T425" s="100">
        <v>0</v>
      </c>
      <c r="U425" s="100">
        <v>1.8305804090254236E+19</v>
      </c>
      <c r="V425" s="100"/>
    </row>
    <row r="426" spans="4:22" ht="15" customHeight="1">
      <c r="D426" s="98" t="b">
        <v>0</v>
      </c>
      <c r="E426" s="93">
        <v>0</v>
      </c>
      <c r="F426" s="91">
        <v>3</v>
      </c>
      <c r="G426" s="91" t="s">
        <v>74</v>
      </c>
      <c r="H426" s="92">
        <v>16</v>
      </c>
      <c r="I426" s="92">
        <v>2</v>
      </c>
      <c r="J426" s="92">
        <v>0</v>
      </c>
      <c r="K426" s="92">
        <v>18</v>
      </c>
      <c r="L426" s="92" t="s">
        <v>75</v>
      </c>
      <c r="M426" s="92" t="s">
        <v>76</v>
      </c>
      <c r="N426" s="92" t="s">
        <v>77</v>
      </c>
      <c r="O426" s="92" t="b">
        <v>1</v>
      </c>
      <c r="P426" s="92"/>
      <c r="Q426" s="92" t="s">
        <v>79</v>
      </c>
      <c r="R426" s="92" t="s">
        <v>80</v>
      </c>
      <c r="S426" s="92" t="b">
        <v>0</v>
      </c>
      <c r="T426" s="100">
        <v>1</v>
      </c>
      <c r="U426" s="100">
        <v>8.0022219433692324E+18</v>
      </c>
      <c r="V426" s="100"/>
    </row>
    <row r="427" spans="4:22" ht="15" customHeight="1">
      <c r="D427" s="98" t="b">
        <v>0</v>
      </c>
      <c r="E427" s="93">
        <v>1</v>
      </c>
      <c r="F427" s="91">
        <v>1</v>
      </c>
      <c r="G427" s="91" t="s">
        <v>81</v>
      </c>
      <c r="H427" s="92"/>
      <c r="I427" s="92">
        <v>1</v>
      </c>
      <c r="J427" s="92">
        <v>0</v>
      </c>
      <c r="K427" s="92">
        <v>133.65</v>
      </c>
      <c r="L427" s="92" t="s">
        <v>75</v>
      </c>
      <c r="M427" s="92" t="s">
        <v>82</v>
      </c>
      <c r="N427" s="92" t="s">
        <v>83</v>
      </c>
      <c r="O427" s="92" t="b">
        <v>0</v>
      </c>
      <c r="P427" s="92"/>
      <c r="Q427" s="92" t="s">
        <v>79</v>
      </c>
      <c r="R427" s="92" t="s">
        <v>85</v>
      </c>
      <c r="S427" s="92" t="b">
        <v>0</v>
      </c>
      <c r="T427" s="100">
        <v>1</v>
      </c>
      <c r="U427" s="100">
        <v>1.4792557036230765E+19</v>
      </c>
      <c r="V427" s="100"/>
    </row>
    <row r="428" spans="4:22" ht="15" customHeight="1">
      <c r="D428" s="98" t="b">
        <v>0</v>
      </c>
      <c r="E428" s="93">
        <v>0</v>
      </c>
      <c r="F428" s="91">
        <v>3</v>
      </c>
      <c r="G428" s="91" t="s">
        <v>74</v>
      </c>
      <c r="H428" s="92"/>
      <c r="I428" s="92">
        <v>0</v>
      </c>
      <c r="J428" s="92">
        <v>0</v>
      </c>
      <c r="K428" s="92">
        <v>7.8958000000000004</v>
      </c>
      <c r="L428" s="92" t="s">
        <v>75</v>
      </c>
      <c r="M428" s="92" t="s">
        <v>76</v>
      </c>
      <c r="N428" s="92" t="s">
        <v>77</v>
      </c>
      <c r="O428" s="92" t="b">
        <v>1</v>
      </c>
      <c r="P428" s="92"/>
      <c r="Q428" s="92" t="s">
        <v>79</v>
      </c>
      <c r="R428" s="92" t="s">
        <v>80</v>
      </c>
      <c r="S428" s="92" t="b">
        <v>1</v>
      </c>
      <c r="T428" s="100">
        <v>1</v>
      </c>
      <c r="U428" s="100">
        <v>9.9740171854948762E+18</v>
      </c>
      <c r="V428" s="100"/>
    </row>
    <row r="429" spans="4:22" ht="15" customHeight="1">
      <c r="D429" s="98" t="b">
        <v>0</v>
      </c>
      <c r="E429" s="93">
        <v>0</v>
      </c>
      <c r="F429" s="91">
        <v>1</v>
      </c>
      <c r="G429" s="91" t="s">
        <v>74</v>
      </c>
      <c r="H429" s="92">
        <v>29</v>
      </c>
      <c r="I429" s="92">
        <v>1</v>
      </c>
      <c r="J429" s="92">
        <v>0</v>
      </c>
      <c r="K429" s="92">
        <v>66.599999999999994</v>
      </c>
      <c r="L429" s="92" t="s">
        <v>75</v>
      </c>
      <c r="M429" s="92" t="s">
        <v>82</v>
      </c>
      <c r="N429" s="92" t="s">
        <v>77</v>
      </c>
      <c r="O429" s="92" t="b">
        <v>1</v>
      </c>
      <c r="P429" s="92" t="s">
        <v>78</v>
      </c>
      <c r="Q429" s="92" t="s">
        <v>79</v>
      </c>
      <c r="R429" s="92" t="s">
        <v>80</v>
      </c>
      <c r="S429" s="92" t="b">
        <v>0</v>
      </c>
      <c r="T429" s="100">
        <v>0</v>
      </c>
      <c r="U429" s="100">
        <v>9.7072346948435517E+18</v>
      </c>
      <c r="V429" s="100"/>
    </row>
    <row r="430" spans="4:22" ht="15" customHeight="1">
      <c r="D430" s="98" t="b">
        <v>0</v>
      </c>
      <c r="E430" s="93">
        <v>1</v>
      </c>
      <c r="F430" s="91">
        <v>1</v>
      </c>
      <c r="G430" s="91" t="s">
        <v>81</v>
      </c>
      <c r="H430" s="92">
        <v>41</v>
      </c>
      <c r="I430" s="92">
        <v>0</v>
      </c>
      <c r="J430" s="92">
        <v>0</v>
      </c>
      <c r="K430" s="92">
        <v>134.5</v>
      </c>
      <c r="L430" s="92" t="s">
        <v>78</v>
      </c>
      <c r="M430" s="92" t="s">
        <v>82</v>
      </c>
      <c r="N430" s="92" t="s">
        <v>83</v>
      </c>
      <c r="O430" s="92" t="b">
        <v>0</v>
      </c>
      <c r="P430" s="92" t="s">
        <v>88</v>
      </c>
      <c r="Q430" s="92" t="s">
        <v>84</v>
      </c>
      <c r="R430" s="92" t="s">
        <v>85</v>
      </c>
      <c r="S430" s="92" t="b">
        <v>1</v>
      </c>
      <c r="T430" s="100">
        <v>0</v>
      </c>
      <c r="U430" s="100">
        <v>3.145824261158785E+18</v>
      </c>
      <c r="V430" s="100"/>
    </row>
    <row r="431" spans="4:22" ht="15" customHeight="1">
      <c r="D431" s="98" t="b">
        <v>0</v>
      </c>
      <c r="E431" s="93">
        <v>1</v>
      </c>
      <c r="F431" s="91">
        <v>3</v>
      </c>
      <c r="G431" s="91" t="s">
        <v>74</v>
      </c>
      <c r="H431" s="92">
        <v>45</v>
      </c>
      <c r="I431" s="92">
        <v>0</v>
      </c>
      <c r="J431" s="92">
        <v>0</v>
      </c>
      <c r="K431" s="92">
        <v>8.0500000000000007</v>
      </c>
      <c r="L431" s="92" t="s">
        <v>75</v>
      </c>
      <c r="M431" s="92" t="s">
        <v>76</v>
      </c>
      <c r="N431" s="92" t="s">
        <v>77</v>
      </c>
      <c r="O431" s="92" t="b">
        <v>1</v>
      </c>
      <c r="P431" s="92"/>
      <c r="Q431" s="92" t="s">
        <v>79</v>
      </c>
      <c r="R431" s="92" t="s">
        <v>85</v>
      </c>
      <c r="S431" s="92" t="b">
        <v>1</v>
      </c>
      <c r="T431" s="100">
        <v>1</v>
      </c>
      <c r="U431" s="100">
        <v>1.5492188534305962E+19</v>
      </c>
      <c r="V431" s="100"/>
    </row>
    <row r="432" spans="4:22" ht="15" customHeight="1">
      <c r="D432" s="98" t="b">
        <v>0</v>
      </c>
      <c r="E432" s="93">
        <v>0</v>
      </c>
      <c r="F432" s="91">
        <v>1</v>
      </c>
      <c r="G432" s="91" t="s">
        <v>74</v>
      </c>
      <c r="H432" s="92">
        <v>45</v>
      </c>
      <c r="I432" s="92">
        <v>0</v>
      </c>
      <c r="J432" s="92">
        <v>0</v>
      </c>
      <c r="K432" s="92">
        <v>35.5</v>
      </c>
      <c r="L432" s="92" t="s">
        <v>75</v>
      </c>
      <c r="M432" s="92" t="s">
        <v>82</v>
      </c>
      <c r="N432" s="92" t="s">
        <v>77</v>
      </c>
      <c r="O432" s="92" t="b">
        <v>1</v>
      </c>
      <c r="P432" s="92"/>
      <c r="Q432" s="92" t="s">
        <v>79</v>
      </c>
      <c r="R432" s="92" t="s">
        <v>80</v>
      </c>
      <c r="S432" s="92" t="b">
        <v>1</v>
      </c>
      <c r="T432" s="100">
        <v>1</v>
      </c>
      <c r="U432" s="100">
        <v>8.8714636460873718E+18</v>
      </c>
      <c r="V432" s="100"/>
    </row>
    <row r="433" spans="4:22" ht="15" customHeight="1">
      <c r="D433" s="98" t="b">
        <v>0</v>
      </c>
      <c r="E433" s="93">
        <v>1</v>
      </c>
      <c r="F433" s="91">
        <v>2</v>
      </c>
      <c r="G433" s="91" t="s">
        <v>74</v>
      </c>
      <c r="H433" s="92">
        <v>2</v>
      </c>
      <c r="I433" s="92">
        <v>1</v>
      </c>
      <c r="J433" s="92">
        <v>1</v>
      </c>
      <c r="K433" s="92">
        <v>26</v>
      </c>
      <c r="L433" s="92" t="s">
        <v>75</v>
      </c>
      <c r="M433" s="92" t="s">
        <v>90</v>
      </c>
      <c r="N433" s="92" t="s">
        <v>89</v>
      </c>
      <c r="O433" s="92" t="b">
        <v>0</v>
      </c>
      <c r="P433" s="92" t="s">
        <v>95</v>
      </c>
      <c r="Q433" s="92" t="s">
        <v>79</v>
      </c>
      <c r="R433" s="92" t="s">
        <v>85</v>
      </c>
      <c r="S433" s="92" t="b">
        <v>0</v>
      </c>
      <c r="T433" s="100">
        <v>0</v>
      </c>
      <c r="U433" s="100">
        <v>6.5901813572452076E+18</v>
      </c>
      <c r="V433" s="100"/>
    </row>
    <row r="434" spans="4:22" ht="15" customHeight="1">
      <c r="D434" s="98" t="b">
        <v>0</v>
      </c>
      <c r="E434" s="93">
        <v>1</v>
      </c>
      <c r="F434" s="91">
        <v>1</v>
      </c>
      <c r="G434" s="91" t="s">
        <v>81</v>
      </c>
      <c r="H434" s="92">
        <v>24</v>
      </c>
      <c r="I434" s="92">
        <v>3</v>
      </c>
      <c r="J434" s="92">
        <v>2</v>
      </c>
      <c r="K434" s="92">
        <v>263</v>
      </c>
      <c r="L434" s="92" t="s">
        <v>75</v>
      </c>
      <c r="M434" s="92" t="s">
        <v>82</v>
      </c>
      <c r="N434" s="92" t="s">
        <v>83</v>
      </c>
      <c r="O434" s="92" t="b">
        <v>0</v>
      </c>
      <c r="P434" s="92" t="s">
        <v>78</v>
      </c>
      <c r="Q434" s="92" t="s">
        <v>79</v>
      </c>
      <c r="R434" s="92" t="s">
        <v>85</v>
      </c>
      <c r="S434" s="92" t="b">
        <v>0</v>
      </c>
      <c r="T434" s="100">
        <v>0</v>
      </c>
      <c r="U434" s="100">
        <v>1.9479881859298248E+18</v>
      </c>
      <c r="V434" s="100"/>
    </row>
    <row r="435" spans="4:22" ht="15" customHeight="1">
      <c r="D435" s="98" t="b">
        <v>0</v>
      </c>
      <c r="E435" s="93">
        <v>0</v>
      </c>
      <c r="F435" s="91">
        <v>2</v>
      </c>
      <c r="G435" s="91" t="s">
        <v>74</v>
      </c>
      <c r="H435" s="92">
        <v>28</v>
      </c>
      <c r="I435" s="92">
        <v>0</v>
      </c>
      <c r="J435" s="92">
        <v>0</v>
      </c>
      <c r="K435" s="92">
        <v>13</v>
      </c>
      <c r="L435" s="92" t="s">
        <v>75</v>
      </c>
      <c r="M435" s="92" t="s">
        <v>90</v>
      </c>
      <c r="N435" s="92" t="s">
        <v>77</v>
      </c>
      <c r="O435" s="92" t="b">
        <v>1</v>
      </c>
      <c r="P435" s="92"/>
      <c r="Q435" s="92" t="s">
        <v>79</v>
      </c>
      <c r="R435" s="92" t="s">
        <v>80</v>
      </c>
      <c r="S435" s="92" t="b">
        <v>1</v>
      </c>
      <c r="T435" s="100">
        <v>1</v>
      </c>
      <c r="U435" s="100">
        <v>8.5290690329400146E+18</v>
      </c>
      <c r="V435" s="100"/>
    </row>
    <row r="436" spans="4:22" ht="15" customHeight="1">
      <c r="D436" s="98" t="b">
        <v>0</v>
      </c>
      <c r="E436" s="93">
        <v>0</v>
      </c>
      <c r="F436" s="91">
        <v>2</v>
      </c>
      <c r="G436" s="91" t="s">
        <v>74</v>
      </c>
      <c r="H436" s="92">
        <v>25</v>
      </c>
      <c r="I436" s="92">
        <v>0</v>
      </c>
      <c r="J436" s="92">
        <v>0</v>
      </c>
      <c r="K436" s="92">
        <v>13</v>
      </c>
      <c r="L436" s="92" t="s">
        <v>75</v>
      </c>
      <c r="M436" s="92" t="s">
        <v>90</v>
      </c>
      <c r="N436" s="92" t="s">
        <v>77</v>
      </c>
      <c r="O436" s="92" t="b">
        <v>1</v>
      </c>
      <c r="P436" s="92"/>
      <c r="Q436" s="92" t="s">
        <v>79</v>
      </c>
      <c r="R436" s="92" t="s">
        <v>80</v>
      </c>
      <c r="S436" s="92" t="b">
        <v>1</v>
      </c>
      <c r="T436" s="100">
        <v>1</v>
      </c>
      <c r="U436" s="100">
        <v>1.6671839457297043E+19</v>
      </c>
      <c r="V436" s="100"/>
    </row>
    <row r="437" spans="4:22" ht="15" customHeight="1">
      <c r="D437" s="98" t="b">
        <v>0</v>
      </c>
      <c r="E437" s="93">
        <v>0</v>
      </c>
      <c r="F437" s="91">
        <v>2</v>
      </c>
      <c r="G437" s="91" t="s">
        <v>74</v>
      </c>
      <c r="H437" s="92">
        <v>36</v>
      </c>
      <c r="I437" s="92">
        <v>0</v>
      </c>
      <c r="J437" s="92">
        <v>0</v>
      </c>
      <c r="K437" s="92">
        <v>13</v>
      </c>
      <c r="L437" s="92" t="s">
        <v>75</v>
      </c>
      <c r="M437" s="92" t="s">
        <v>90</v>
      </c>
      <c r="N437" s="92" t="s">
        <v>77</v>
      </c>
      <c r="O437" s="92" t="b">
        <v>1</v>
      </c>
      <c r="P437" s="92"/>
      <c r="Q437" s="92" t="s">
        <v>79</v>
      </c>
      <c r="R437" s="92" t="s">
        <v>80</v>
      </c>
      <c r="S437" s="92" t="b">
        <v>1</v>
      </c>
      <c r="T437" s="100">
        <v>1</v>
      </c>
      <c r="U437" s="100">
        <v>3.8072449935251953E+18</v>
      </c>
      <c r="V437" s="100"/>
    </row>
    <row r="438" spans="4:22" ht="15" customHeight="1">
      <c r="D438" s="98" t="b">
        <v>0</v>
      </c>
      <c r="E438" s="93">
        <v>1</v>
      </c>
      <c r="F438" s="91">
        <v>2</v>
      </c>
      <c r="G438" s="91" t="s">
        <v>81</v>
      </c>
      <c r="H438" s="92">
        <v>24</v>
      </c>
      <c r="I438" s="92">
        <v>0</v>
      </c>
      <c r="J438" s="92">
        <v>0</v>
      </c>
      <c r="K438" s="92">
        <v>13</v>
      </c>
      <c r="L438" s="92" t="s">
        <v>75</v>
      </c>
      <c r="M438" s="92" t="s">
        <v>90</v>
      </c>
      <c r="N438" s="92" t="s">
        <v>83</v>
      </c>
      <c r="O438" s="92" t="b">
        <v>0</v>
      </c>
      <c r="P438" s="92" t="s">
        <v>95</v>
      </c>
      <c r="Q438" s="92" t="s">
        <v>79</v>
      </c>
      <c r="R438" s="92" t="s">
        <v>85</v>
      </c>
      <c r="S438" s="92" t="b">
        <v>1</v>
      </c>
      <c r="T438" s="100">
        <v>0</v>
      </c>
      <c r="U438" s="100">
        <v>7.4229549024854106E+17</v>
      </c>
      <c r="V438" s="100"/>
    </row>
    <row r="439" spans="4:22" ht="15" customHeight="1">
      <c r="D439" s="98" t="b">
        <v>0</v>
      </c>
      <c r="E439" s="93">
        <v>1</v>
      </c>
      <c r="F439" s="91">
        <v>2</v>
      </c>
      <c r="G439" s="91" t="s">
        <v>81</v>
      </c>
      <c r="H439" s="92">
        <v>40</v>
      </c>
      <c r="I439" s="92">
        <v>0</v>
      </c>
      <c r="J439" s="92">
        <v>0</v>
      </c>
      <c r="K439" s="92">
        <v>13</v>
      </c>
      <c r="L439" s="92" t="s">
        <v>75</v>
      </c>
      <c r="M439" s="92" t="s">
        <v>90</v>
      </c>
      <c r="N439" s="92" t="s">
        <v>83</v>
      </c>
      <c r="O439" s="92" t="b">
        <v>0</v>
      </c>
      <c r="P439" s="92"/>
      <c r="Q439" s="92" t="s">
        <v>79</v>
      </c>
      <c r="R439" s="92" t="s">
        <v>85</v>
      </c>
      <c r="S439" s="92" t="b">
        <v>1</v>
      </c>
      <c r="T439" s="100">
        <v>1</v>
      </c>
      <c r="U439" s="100">
        <v>6.1980515131559803E+18</v>
      </c>
      <c r="V439" s="100"/>
    </row>
    <row r="440" spans="4:22" ht="15" customHeight="1">
      <c r="D440" s="98" t="b">
        <v>0</v>
      </c>
      <c r="E440" s="93">
        <v>1</v>
      </c>
      <c r="F440" s="91">
        <v>3</v>
      </c>
      <c r="G440" s="91" t="s">
        <v>81</v>
      </c>
      <c r="H440" s="92"/>
      <c r="I440" s="92">
        <v>1</v>
      </c>
      <c r="J440" s="92">
        <v>0</v>
      </c>
      <c r="K440" s="92">
        <v>16.100000000000001</v>
      </c>
      <c r="L440" s="92" t="s">
        <v>75</v>
      </c>
      <c r="M440" s="92" t="s">
        <v>76</v>
      </c>
      <c r="N440" s="92" t="s">
        <v>83</v>
      </c>
      <c r="O440" s="92" t="b">
        <v>0</v>
      </c>
      <c r="P440" s="92"/>
      <c r="Q440" s="92" t="s">
        <v>79</v>
      </c>
      <c r="R440" s="92" t="s">
        <v>85</v>
      </c>
      <c r="S440" s="92" t="b">
        <v>0</v>
      </c>
      <c r="T440" s="100">
        <v>1</v>
      </c>
      <c r="U440" s="100">
        <v>1.2418284531753687E+19</v>
      </c>
      <c r="V440" s="100"/>
    </row>
    <row r="441" spans="4:22" ht="15" customHeight="1">
      <c r="D441" s="98" t="b">
        <v>0</v>
      </c>
      <c r="E441" s="93">
        <v>1</v>
      </c>
      <c r="F441" s="91">
        <v>3</v>
      </c>
      <c r="G441" s="91" t="s">
        <v>74</v>
      </c>
      <c r="H441" s="92">
        <v>3</v>
      </c>
      <c r="I441" s="92">
        <v>1</v>
      </c>
      <c r="J441" s="92">
        <v>1</v>
      </c>
      <c r="K441" s="92">
        <v>15.9</v>
      </c>
      <c r="L441" s="92" t="s">
        <v>75</v>
      </c>
      <c r="M441" s="92" t="s">
        <v>76</v>
      </c>
      <c r="N441" s="92" t="s">
        <v>89</v>
      </c>
      <c r="O441" s="92" t="b">
        <v>0</v>
      </c>
      <c r="P441" s="92"/>
      <c r="Q441" s="92" t="s">
        <v>79</v>
      </c>
      <c r="R441" s="92" t="s">
        <v>85</v>
      </c>
      <c r="S441" s="92" t="b">
        <v>0</v>
      </c>
      <c r="T441" s="100">
        <v>1</v>
      </c>
      <c r="U441" s="100">
        <v>5.9176795406527549E+18</v>
      </c>
      <c r="V441" s="100"/>
    </row>
    <row r="442" spans="4:22" ht="15" customHeight="1">
      <c r="D442" s="98" t="b">
        <v>0</v>
      </c>
      <c r="E442" s="93">
        <v>0</v>
      </c>
      <c r="F442" s="91">
        <v>3</v>
      </c>
      <c r="G442" s="91" t="s">
        <v>74</v>
      </c>
      <c r="H442" s="92">
        <v>42</v>
      </c>
      <c r="I442" s="92">
        <v>0</v>
      </c>
      <c r="J442" s="92">
        <v>0</v>
      </c>
      <c r="K442" s="92">
        <v>8.6624999999999996</v>
      </c>
      <c r="L442" s="92" t="s">
        <v>75</v>
      </c>
      <c r="M442" s="92" t="s">
        <v>76</v>
      </c>
      <c r="N442" s="92" t="s">
        <v>77</v>
      </c>
      <c r="O442" s="92" t="b">
        <v>1</v>
      </c>
      <c r="P442" s="92"/>
      <c r="Q442" s="92" t="s">
        <v>79</v>
      </c>
      <c r="R442" s="92" t="s">
        <v>80</v>
      </c>
      <c r="S442" s="92" t="b">
        <v>1</v>
      </c>
      <c r="T442" s="100">
        <v>1</v>
      </c>
      <c r="U442" s="100">
        <v>1.146228697570338E+19</v>
      </c>
      <c r="V442" s="100"/>
    </row>
    <row r="443" spans="4:22" ht="15" customHeight="1">
      <c r="D443" s="98" t="b">
        <v>0</v>
      </c>
      <c r="E443" s="93">
        <v>0</v>
      </c>
      <c r="F443" s="91">
        <v>3</v>
      </c>
      <c r="G443" s="91" t="s">
        <v>74</v>
      </c>
      <c r="H443" s="92">
        <v>23</v>
      </c>
      <c r="I443" s="92">
        <v>0</v>
      </c>
      <c r="J443" s="92">
        <v>0</v>
      </c>
      <c r="K443" s="92">
        <v>9.2249999999999996</v>
      </c>
      <c r="L443" s="92" t="s">
        <v>75</v>
      </c>
      <c r="M443" s="92" t="s">
        <v>76</v>
      </c>
      <c r="N443" s="92" t="s">
        <v>77</v>
      </c>
      <c r="O443" s="92" t="b">
        <v>1</v>
      </c>
      <c r="P443" s="92"/>
      <c r="Q443" s="92" t="s">
        <v>79</v>
      </c>
      <c r="R443" s="92" t="s">
        <v>80</v>
      </c>
      <c r="S443" s="92" t="b">
        <v>1</v>
      </c>
      <c r="T443" s="100">
        <v>1</v>
      </c>
      <c r="U443" s="100">
        <v>1.7749194669048873E+19</v>
      </c>
      <c r="V443" s="100"/>
    </row>
    <row r="444" spans="4:22" ht="15" customHeight="1">
      <c r="D444" s="98" t="b">
        <v>0</v>
      </c>
      <c r="E444" s="93">
        <v>0</v>
      </c>
      <c r="F444" s="91">
        <v>1</v>
      </c>
      <c r="G444" s="91" t="s">
        <v>74</v>
      </c>
      <c r="H444" s="92"/>
      <c r="I444" s="92">
        <v>0</v>
      </c>
      <c r="J444" s="92">
        <v>0</v>
      </c>
      <c r="K444" s="92">
        <v>35</v>
      </c>
      <c r="L444" s="92" t="s">
        <v>75</v>
      </c>
      <c r="M444" s="92" t="s">
        <v>82</v>
      </c>
      <c r="N444" s="92" t="s">
        <v>77</v>
      </c>
      <c r="O444" s="92" t="b">
        <v>1</v>
      </c>
      <c r="P444" s="92" t="s">
        <v>78</v>
      </c>
      <c r="Q444" s="92" t="s">
        <v>79</v>
      </c>
      <c r="R444" s="92" t="s">
        <v>80</v>
      </c>
      <c r="S444" s="92" t="b">
        <v>1</v>
      </c>
      <c r="T444" s="100">
        <v>1</v>
      </c>
      <c r="U444" s="100">
        <v>1.9088943434010353E+18</v>
      </c>
      <c r="V444" s="100"/>
    </row>
    <row r="445" spans="4:22" ht="15" customHeight="1">
      <c r="D445" s="98" t="b">
        <v>0</v>
      </c>
      <c r="E445" s="93">
        <v>0</v>
      </c>
      <c r="F445" s="91">
        <v>3</v>
      </c>
      <c r="G445" s="91" t="s">
        <v>74</v>
      </c>
      <c r="H445" s="92">
        <v>15</v>
      </c>
      <c r="I445" s="92">
        <v>1</v>
      </c>
      <c r="J445" s="92">
        <v>1</v>
      </c>
      <c r="K445" s="92">
        <v>7.2291999999999996</v>
      </c>
      <c r="L445" s="92" t="s">
        <v>78</v>
      </c>
      <c r="M445" s="92" t="s">
        <v>76</v>
      </c>
      <c r="N445" s="92" t="s">
        <v>89</v>
      </c>
      <c r="O445" s="92" t="b">
        <v>0</v>
      </c>
      <c r="P445" s="92"/>
      <c r="Q445" s="92" t="s">
        <v>84</v>
      </c>
      <c r="R445" s="92" t="s">
        <v>80</v>
      </c>
      <c r="S445" s="92" t="b">
        <v>0</v>
      </c>
      <c r="T445" s="100">
        <v>1</v>
      </c>
      <c r="U445" s="100">
        <v>8.8792739406861865E+18</v>
      </c>
      <c r="V445" s="100"/>
    </row>
    <row r="446" spans="4:22" ht="15" customHeight="1">
      <c r="D446" s="98" t="b">
        <v>0</v>
      </c>
      <c r="E446" s="93">
        <v>0</v>
      </c>
      <c r="F446" s="91">
        <v>3</v>
      </c>
      <c r="G446" s="91" t="s">
        <v>74</v>
      </c>
      <c r="H446" s="92">
        <v>25</v>
      </c>
      <c r="I446" s="92">
        <v>1</v>
      </c>
      <c r="J446" s="92">
        <v>0</v>
      </c>
      <c r="K446" s="92">
        <v>17.8</v>
      </c>
      <c r="L446" s="92" t="s">
        <v>75</v>
      </c>
      <c r="M446" s="92" t="s">
        <v>76</v>
      </c>
      <c r="N446" s="92" t="s">
        <v>77</v>
      </c>
      <c r="O446" s="92" t="b">
        <v>1</v>
      </c>
      <c r="P446" s="92"/>
      <c r="Q446" s="92" t="s">
        <v>79</v>
      </c>
      <c r="R446" s="92" t="s">
        <v>80</v>
      </c>
      <c r="S446" s="92" t="b">
        <v>0</v>
      </c>
      <c r="T446" s="100">
        <v>1</v>
      </c>
      <c r="U446" s="100">
        <v>9.486302277875071E+18</v>
      </c>
      <c r="V446" s="100"/>
    </row>
    <row r="447" spans="4:22" ht="15" customHeight="1">
      <c r="D447" s="98" t="b">
        <v>0</v>
      </c>
      <c r="E447" s="93">
        <v>0</v>
      </c>
      <c r="F447" s="91">
        <v>3</v>
      </c>
      <c r="G447" s="91" t="s">
        <v>74</v>
      </c>
      <c r="H447" s="92"/>
      <c r="I447" s="92">
        <v>0</v>
      </c>
      <c r="J447" s="92">
        <v>0</v>
      </c>
      <c r="K447" s="92">
        <v>7.2249999999999996</v>
      </c>
      <c r="L447" s="92" t="s">
        <v>78</v>
      </c>
      <c r="M447" s="92" t="s">
        <v>76</v>
      </c>
      <c r="N447" s="92" t="s">
        <v>77</v>
      </c>
      <c r="O447" s="92" t="b">
        <v>1</v>
      </c>
      <c r="P447" s="92"/>
      <c r="Q447" s="92" t="s">
        <v>84</v>
      </c>
      <c r="R447" s="92" t="s">
        <v>80</v>
      </c>
      <c r="S447" s="92" t="b">
        <v>1</v>
      </c>
      <c r="T447" s="100">
        <v>1</v>
      </c>
      <c r="U447" s="100">
        <v>4.2150475999644298E+18</v>
      </c>
      <c r="V447" s="100"/>
    </row>
    <row r="448" spans="4:22" ht="15" customHeight="1">
      <c r="D448" s="98" t="b">
        <v>0</v>
      </c>
      <c r="E448" s="93">
        <v>0</v>
      </c>
      <c r="F448" s="91">
        <v>3</v>
      </c>
      <c r="G448" s="91" t="s">
        <v>74</v>
      </c>
      <c r="H448" s="92">
        <v>28</v>
      </c>
      <c r="I448" s="92">
        <v>0</v>
      </c>
      <c r="J448" s="92">
        <v>0</v>
      </c>
      <c r="K448" s="92">
        <v>9.5</v>
      </c>
      <c r="L448" s="92" t="s">
        <v>75</v>
      </c>
      <c r="M448" s="92" t="s">
        <v>76</v>
      </c>
      <c r="N448" s="92" t="s">
        <v>77</v>
      </c>
      <c r="O448" s="92" t="b">
        <v>1</v>
      </c>
      <c r="P448" s="92"/>
      <c r="Q448" s="92" t="s">
        <v>79</v>
      </c>
      <c r="R448" s="92" t="s">
        <v>80</v>
      </c>
      <c r="S448" s="92" t="b">
        <v>1</v>
      </c>
      <c r="T448" s="100">
        <v>1</v>
      </c>
      <c r="U448" s="100">
        <v>1.4007622470247682E+19</v>
      </c>
      <c r="V448" s="100"/>
    </row>
    <row r="449" spans="4:22" ht="15" customHeight="1">
      <c r="D449" s="98" t="b">
        <v>0</v>
      </c>
      <c r="E449" s="93">
        <v>1</v>
      </c>
      <c r="F449" s="91">
        <v>1</v>
      </c>
      <c r="G449" s="91" t="s">
        <v>81</v>
      </c>
      <c r="H449" s="92">
        <v>22</v>
      </c>
      <c r="I449" s="92">
        <v>0</v>
      </c>
      <c r="J449" s="92">
        <v>1</v>
      </c>
      <c r="K449" s="92">
        <v>55</v>
      </c>
      <c r="L449" s="92" t="s">
        <v>75</v>
      </c>
      <c r="M449" s="92" t="s">
        <v>82</v>
      </c>
      <c r="N449" s="92" t="s">
        <v>83</v>
      </c>
      <c r="O449" s="92" t="b">
        <v>0</v>
      </c>
      <c r="P449" s="92" t="s">
        <v>88</v>
      </c>
      <c r="Q449" s="92" t="s">
        <v>79</v>
      </c>
      <c r="R449" s="92" t="s">
        <v>85</v>
      </c>
      <c r="S449" s="92" t="b">
        <v>0</v>
      </c>
      <c r="T449" s="100">
        <v>0</v>
      </c>
      <c r="U449" s="100">
        <v>7.4157735437563412E+18</v>
      </c>
      <c r="V449" s="100"/>
    </row>
    <row r="450" spans="4:22" ht="15" customHeight="1">
      <c r="D450" s="98" t="b">
        <v>0</v>
      </c>
      <c r="E450" s="93">
        <v>0</v>
      </c>
      <c r="F450" s="91">
        <v>2</v>
      </c>
      <c r="G450" s="91" t="s">
        <v>81</v>
      </c>
      <c r="H450" s="92">
        <v>38</v>
      </c>
      <c r="I450" s="92">
        <v>0</v>
      </c>
      <c r="J450" s="92">
        <v>0</v>
      </c>
      <c r="K450" s="92">
        <v>13</v>
      </c>
      <c r="L450" s="92" t="s">
        <v>75</v>
      </c>
      <c r="M450" s="92" t="s">
        <v>90</v>
      </c>
      <c r="N450" s="92" t="s">
        <v>83</v>
      </c>
      <c r="O450" s="92" t="b">
        <v>0</v>
      </c>
      <c r="P450" s="92"/>
      <c r="Q450" s="92" t="s">
        <v>79</v>
      </c>
      <c r="R450" s="92" t="s">
        <v>80</v>
      </c>
      <c r="S450" s="92" t="b">
        <v>1</v>
      </c>
      <c r="T450" s="100">
        <v>1</v>
      </c>
      <c r="U450" s="100">
        <v>1.6045957274438894E+19</v>
      </c>
      <c r="V450" s="100"/>
    </row>
    <row r="451" spans="4:22" ht="15" customHeight="1">
      <c r="D451" s="98" t="b">
        <v>0</v>
      </c>
      <c r="E451" s="93">
        <v>1</v>
      </c>
      <c r="F451" s="91">
        <v>3</v>
      </c>
      <c r="G451" s="91" t="s">
        <v>81</v>
      </c>
      <c r="H451" s="92"/>
      <c r="I451" s="92">
        <v>0</v>
      </c>
      <c r="J451" s="92">
        <v>0</v>
      </c>
      <c r="K451" s="92">
        <v>7.8792</v>
      </c>
      <c r="L451" s="92" t="s">
        <v>86</v>
      </c>
      <c r="M451" s="92" t="s">
        <v>76</v>
      </c>
      <c r="N451" s="92" t="s">
        <v>83</v>
      </c>
      <c r="O451" s="92" t="b">
        <v>0</v>
      </c>
      <c r="P451" s="92"/>
      <c r="Q451" s="92" t="s">
        <v>87</v>
      </c>
      <c r="R451" s="92" t="s">
        <v>85</v>
      </c>
      <c r="S451" s="92" t="b">
        <v>1</v>
      </c>
      <c r="T451" s="100">
        <v>1</v>
      </c>
      <c r="U451" s="100">
        <v>1.5101224978838079E+19</v>
      </c>
      <c r="V451" s="100"/>
    </row>
    <row r="452" spans="4:22" ht="15" customHeight="1">
      <c r="D452" s="98" t="b">
        <v>0</v>
      </c>
      <c r="E452" s="93">
        <v>1</v>
      </c>
      <c r="F452" s="91">
        <v>3</v>
      </c>
      <c r="G452" s="91" t="s">
        <v>81</v>
      </c>
      <c r="H452" s="92"/>
      <c r="I452" s="92">
        <v>0</v>
      </c>
      <c r="J452" s="92">
        <v>0</v>
      </c>
      <c r="K452" s="92">
        <v>7.8792</v>
      </c>
      <c r="L452" s="92" t="s">
        <v>86</v>
      </c>
      <c r="M452" s="92" t="s">
        <v>76</v>
      </c>
      <c r="N452" s="92" t="s">
        <v>83</v>
      </c>
      <c r="O452" s="92" t="b">
        <v>0</v>
      </c>
      <c r="P452" s="92"/>
      <c r="Q452" s="92" t="s">
        <v>87</v>
      </c>
      <c r="R452" s="92" t="s">
        <v>85</v>
      </c>
      <c r="S452" s="92" t="b">
        <v>1</v>
      </c>
      <c r="T452" s="100">
        <v>1</v>
      </c>
      <c r="U452" s="100">
        <v>1.5101224978838079E+19</v>
      </c>
      <c r="V452" s="100"/>
    </row>
    <row r="453" spans="4:22" ht="15" customHeight="1">
      <c r="D453" s="98" t="b">
        <v>0</v>
      </c>
      <c r="E453" s="93">
        <v>0</v>
      </c>
      <c r="F453" s="91">
        <v>3</v>
      </c>
      <c r="G453" s="91" t="s">
        <v>74</v>
      </c>
      <c r="H453" s="92">
        <v>40</v>
      </c>
      <c r="I453" s="92">
        <v>1</v>
      </c>
      <c r="J453" s="92">
        <v>4</v>
      </c>
      <c r="K453" s="92">
        <v>27.9</v>
      </c>
      <c r="L453" s="92" t="s">
        <v>75</v>
      </c>
      <c r="M453" s="92" t="s">
        <v>76</v>
      </c>
      <c r="N453" s="92" t="s">
        <v>77</v>
      </c>
      <c r="O453" s="92" t="b">
        <v>1</v>
      </c>
      <c r="P453" s="92"/>
      <c r="Q453" s="92" t="s">
        <v>79</v>
      </c>
      <c r="R453" s="92" t="s">
        <v>80</v>
      </c>
      <c r="S453" s="92" t="b">
        <v>0</v>
      </c>
      <c r="T453" s="100">
        <v>1</v>
      </c>
      <c r="U453" s="100">
        <v>8.1392044297394401E+18</v>
      </c>
      <c r="V453" s="100"/>
    </row>
    <row r="454" spans="4:22" ht="15" customHeight="1">
      <c r="D454" s="98" t="b">
        <v>0</v>
      </c>
      <c r="E454" s="93">
        <v>0</v>
      </c>
      <c r="F454" s="91">
        <v>2</v>
      </c>
      <c r="G454" s="91" t="s">
        <v>74</v>
      </c>
      <c r="H454" s="92">
        <v>29</v>
      </c>
      <c r="I454" s="92">
        <v>1</v>
      </c>
      <c r="J454" s="92">
        <v>0</v>
      </c>
      <c r="K454" s="92">
        <v>27.720800000000001</v>
      </c>
      <c r="L454" s="92" t="s">
        <v>78</v>
      </c>
      <c r="M454" s="92" t="s">
        <v>90</v>
      </c>
      <c r="N454" s="92" t="s">
        <v>77</v>
      </c>
      <c r="O454" s="92" t="b">
        <v>1</v>
      </c>
      <c r="P454" s="92"/>
      <c r="Q454" s="92" t="s">
        <v>84</v>
      </c>
      <c r="R454" s="92" t="s">
        <v>80</v>
      </c>
      <c r="S454" s="92" t="b">
        <v>0</v>
      </c>
      <c r="T454" s="100">
        <v>1</v>
      </c>
      <c r="U454" s="100">
        <v>1.3814295074096912E+19</v>
      </c>
      <c r="V454" s="100"/>
    </row>
    <row r="455" spans="4:22" ht="15" customHeight="1">
      <c r="D455" s="98" t="b">
        <v>0</v>
      </c>
      <c r="E455" s="93">
        <v>0</v>
      </c>
      <c r="F455" s="91">
        <v>3</v>
      </c>
      <c r="G455" s="91" t="s">
        <v>81</v>
      </c>
      <c r="H455" s="92">
        <v>45</v>
      </c>
      <c r="I455" s="92">
        <v>0</v>
      </c>
      <c r="J455" s="92">
        <v>1</v>
      </c>
      <c r="K455" s="92">
        <v>14.4542</v>
      </c>
      <c r="L455" s="92" t="s">
        <v>78</v>
      </c>
      <c r="M455" s="92" t="s">
        <v>76</v>
      </c>
      <c r="N455" s="92" t="s">
        <v>83</v>
      </c>
      <c r="O455" s="92" t="b">
        <v>0</v>
      </c>
      <c r="P455" s="92"/>
      <c r="Q455" s="92" t="s">
        <v>84</v>
      </c>
      <c r="R455" s="92" t="s">
        <v>80</v>
      </c>
      <c r="S455" s="92" t="b">
        <v>0</v>
      </c>
      <c r="T455" s="100">
        <v>1</v>
      </c>
      <c r="U455" s="100">
        <v>1.9311679515936719E+18</v>
      </c>
      <c r="V455" s="100"/>
    </row>
    <row r="456" spans="4:22" ht="15" customHeight="1">
      <c r="D456" s="98" t="b">
        <v>0</v>
      </c>
      <c r="E456" s="93">
        <v>0</v>
      </c>
      <c r="F456" s="91">
        <v>3</v>
      </c>
      <c r="G456" s="91" t="s">
        <v>74</v>
      </c>
      <c r="H456" s="92">
        <v>35</v>
      </c>
      <c r="I456" s="92">
        <v>0</v>
      </c>
      <c r="J456" s="92">
        <v>0</v>
      </c>
      <c r="K456" s="92">
        <v>7.05</v>
      </c>
      <c r="L456" s="92" t="s">
        <v>75</v>
      </c>
      <c r="M456" s="92" t="s">
        <v>76</v>
      </c>
      <c r="N456" s="92" t="s">
        <v>77</v>
      </c>
      <c r="O456" s="92" t="b">
        <v>1</v>
      </c>
      <c r="P456" s="92"/>
      <c r="Q456" s="92" t="s">
        <v>79</v>
      </c>
      <c r="R456" s="92" t="s">
        <v>80</v>
      </c>
      <c r="S456" s="92" t="b">
        <v>1</v>
      </c>
      <c r="T456" s="100">
        <v>1</v>
      </c>
      <c r="U456" s="100">
        <v>8.1521168195222385E+18</v>
      </c>
      <c r="V456" s="100"/>
    </row>
    <row r="457" spans="4:22" ht="15" customHeight="1">
      <c r="D457" s="98" t="b">
        <v>0</v>
      </c>
      <c r="E457" s="93">
        <v>0</v>
      </c>
      <c r="F457" s="91">
        <v>3</v>
      </c>
      <c r="G457" s="91" t="s">
        <v>74</v>
      </c>
      <c r="H457" s="92"/>
      <c r="I457" s="92">
        <v>1</v>
      </c>
      <c r="J457" s="92">
        <v>0</v>
      </c>
      <c r="K457" s="92">
        <v>15.5</v>
      </c>
      <c r="L457" s="92" t="s">
        <v>86</v>
      </c>
      <c r="M457" s="92" t="s">
        <v>76</v>
      </c>
      <c r="N457" s="92" t="s">
        <v>77</v>
      </c>
      <c r="O457" s="92" t="b">
        <v>1</v>
      </c>
      <c r="P457" s="92"/>
      <c r="Q457" s="92" t="s">
        <v>87</v>
      </c>
      <c r="R457" s="92" t="s">
        <v>80</v>
      </c>
      <c r="S457" s="92" t="b">
        <v>0</v>
      </c>
      <c r="T457" s="100">
        <v>1</v>
      </c>
      <c r="U457" s="100">
        <v>1.0634231198824208E+19</v>
      </c>
      <c r="V457" s="100"/>
    </row>
    <row r="458" spans="4:22" ht="15" customHeight="1">
      <c r="D458" s="98" t="b">
        <v>0</v>
      </c>
      <c r="E458" s="93">
        <v>0</v>
      </c>
      <c r="F458" s="91">
        <v>3</v>
      </c>
      <c r="G458" s="91" t="s">
        <v>74</v>
      </c>
      <c r="H458" s="92">
        <v>30</v>
      </c>
      <c r="I458" s="92">
        <v>0</v>
      </c>
      <c r="J458" s="92">
        <v>0</v>
      </c>
      <c r="K458" s="92">
        <v>7.25</v>
      </c>
      <c r="L458" s="92" t="s">
        <v>75</v>
      </c>
      <c r="M458" s="92" t="s">
        <v>76</v>
      </c>
      <c r="N458" s="92" t="s">
        <v>77</v>
      </c>
      <c r="O458" s="92" t="b">
        <v>1</v>
      </c>
      <c r="P458" s="92"/>
      <c r="Q458" s="92" t="s">
        <v>79</v>
      </c>
      <c r="R458" s="92" t="s">
        <v>80</v>
      </c>
      <c r="S458" s="92" t="b">
        <v>1</v>
      </c>
      <c r="T458" s="100">
        <v>1</v>
      </c>
      <c r="U458" s="100">
        <v>3.4901599848471731E+17</v>
      </c>
      <c r="V458" s="100"/>
    </row>
    <row r="459" spans="4:22" ht="15" customHeight="1">
      <c r="D459" s="98" t="b">
        <v>0</v>
      </c>
      <c r="E459" s="93">
        <v>1</v>
      </c>
      <c r="F459" s="91">
        <v>1</v>
      </c>
      <c r="G459" s="91" t="s">
        <v>81</v>
      </c>
      <c r="H459" s="92">
        <v>60</v>
      </c>
      <c r="I459" s="92">
        <v>1</v>
      </c>
      <c r="J459" s="92">
        <v>0</v>
      </c>
      <c r="K459" s="92">
        <v>75.25</v>
      </c>
      <c r="L459" s="92" t="s">
        <v>78</v>
      </c>
      <c r="M459" s="92" t="s">
        <v>82</v>
      </c>
      <c r="N459" s="92" t="s">
        <v>83</v>
      </c>
      <c r="O459" s="92" t="b">
        <v>0</v>
      </c>
      <c r="P459" s="92" t="s">
        <v>92</v>
      </c>
      <c r="Q459" s="92" t="s">
        <v>84</v>
      </c>
      <c r="R459" s="92" t="s">
        <v>85</v>
      </c>
      <c r="S459" s="92" t="b">
        <v>0</v>
      </c>
      <c r="T459" s="100">
        <v>0</v>
      </c>
      <c r="U459" s="100">
        <v>1.2591041082304319E+19</v>
      </c>
      <c r="V459" s="100"/>
    </row>
    <row r="460" spans="4:22" ht="15" customHeight="1">
      <c r="D460" s="98" t="b">
        <v>0</v>
      </c>
      <c r="E460" s="93">
        <v>1</v>
      </c>
      <c r="F460" s="91">
        <v>3</v>
      </c>
      <c r="G460" s="91" t="s">
        <v>81</v>
      </c>
      <c r="H460" s="92"/>
      <c r="I460" s="92">
        <v>0</v>
      </c>
      <c r="J460" s="92">
        <v>0</v>
      </c>
      <c r="K460" s="92">
        <v>7.2291999999999996</v>
      </c>
      <c r="L460" s="92" t="s">
        <v>78</v>
      </c>
      <c r="M460" s="92" t="s">
        <v>76</v>
      </c>
      <c r="N460" s="92" t="s">
        <v>83</v>
      </c>
      <c r="O460" s="92" t="b">
        <v>0</v>
      </c>
      <c r="P460" s="92"/>
      <c r="Q460" s="92" t="s">
        <v>84</v>
      </c>
      <c r="R460" s="92" t="s">
        <v>85</v>
      </c>
      <c r="S460" s="92" t="b">
        <v>1</v>
      </c>
      <c r="T460" s="100">
        <v>1</v>
      </c>
      <c r="U460" s="100">
        <v>4.4652987180374042E+18</v>
      </c>
      <c r="V460" s="100"/>
    </row>
    <row r="461" spans="4:22" ht="15" customHeight="1">
      <c r="D461" s="98" t="b">
        <v>0</v>
      </c>
      <c r="E461" s="93">
        <v>1</v>
      </c>
      <c r="F461" s="91">
        <v>3</v>
      </c>
      <c r="G461" s="91" t="s">
        <v>81</v>
      </c>
      <c r="H461" s="92"/>
      <c r="I461" s="92">
        <v>0</v>
      </c>
      <c r="J461" s="92">
        <v>0</v>
      </c>
      <c r="K461" s="92">
        <v>7.75</v>
      </c>
      <c r="L461" s="92" t="s">
        <v>86</v>
      </c>
      <c r="M461" s="92" t="s">
        <v>76</v>
      </c>
      <c r="N461" s="92" t="s">
        <v>83</v>
      </c>
      <c r="O461" s="92" t="b">
        <v>0</v>
      </c>
      <c r="P461" s="92"/>
      <c r="Q461" s="92" t="s">
        <v>87</v>
      </c>
      <c r="R461" s="92" t="s">
        <v>85</v>
      </c>
      <c r="S461" s="92" t="b">
        <v>1</v>
      </c>
      <c r="T461" s="100">
        <v>1</v>
      </c>
      <c r="U461" s="100">
        <v>9.0824774226500116E+18</v>
      </c>
      <c r="V461" s="100"/>
    </row>
    <row r="462" spans="4:22" ht="15" customHeight="1">
      <c r="D462" s="98" t="b">
        <v>0</v>
      </c>
      <c r="E462" s="93">
        <v>1</v>
      </c>
      <c r="F462" s="91">
        <v>1</v>
      </c>
      <c r="G462" s="91" t="s">
        <v>81</v>
      </c>
      <c r="H462" s="92">
        <v>24</v>
      </c>
      <c r="I462" s="92">
        <v>0</v>
      </c>
      <c r="J462" s="92">
        <v>0</v>
      </c>
      <c r="K462" s="92">
        <v>69.3</v>
      </c>
      <c r="L462" s="92" t="s">
        <v>78</v>
      </c>
      <c r="M462" s="92" t="s">
        <v>82</v>
      </c>
      <c r="N462" s="92" t="s">
        <v>83</v>
      </c>
      <c r="O462" s="92" t="b">
        <v>0</v>
      </c>
      <c r="P462" s="92" t="s">
        <v>94</v>
      </c>
      <c r="Q462" s="92" t="s">
        <v>84</v>
      </c>
      <c r="R462" s="92" t="s">
        <v>85</v>
      </c>
      <c r="S462" s="92" t="b">
        <v>1</v>
      </c>
      <c r="T462" s="100">
        <v>0</v>
      </c>
      <c r="U462" s="100">
        <v>1.780892925591118E+19</v>
      </c>
      <c r="V462" s="100"/>
    </row>
    <row r="463" spans="4:22" ht="15" customHeight="1">
      <c r="D463" s="98" t="b">
        <v>0</v>
      </c>
      <c r="E463" s="93">
        <v>1</v>
      </c>
      <c r="F463" s="91">
        <v>1</v>
      </c>
      <c r="G463" s="91" t="s">
        <v>74</v>
      </c>
      <c r="H463" s="92">
        <v>25</v>
      </c>
      <c r="I463" s="92">
        <v>1</v>
      </c>
      <c r="J463" s="92">
        <v>0</v>
      </c>
      <c r="K463" s="92">
        <v>55.441699999999997</v>
      </c>
      <c r="L463" s="92" t="s">
        <v>78</v>
      </c>
      <c r="M463" s="92" t="s">
        <v>82</v>
      </c>
      <c r="N463" s="92" t="s">
        <v>77</v>
      </c>
      <c r="O463" s="92" t="b">
        <v>1</v>
      </c>
      <c r="P463" s="92" t="s">
        <v>88</v>
      </c>
      <c r="Q463" s="92" t="s">
        <v>84</v>
      </c>
      <c r="R463" s="92" t="s">
        <v>85</v>
      </c>
      <c r="S463" s="92" t="b">
        <v>0</v>
      </c>
      <c r="T463" s="100">
        <v>0</v>
      </c>
      <c r="U463" s="100">
        <v>3.6049074591344282E+18</v>
      </c>
      <c r="V463" s="100"/>
    </row>
    <row r="464" spans="4:22" ht="15" customHeight="1">
      <c r="D464" s="98" t="b">
        <v>0</v>
      </c>
      <c r="E464" s="93">
        <v>0</v>
      </c>
      <c r="F464" s="91">
        <v>3</v>
      </c>
      <c r="G464" s="91" t="s">
        <v>74</v>
      </c>
      <c r="H464" s="92">
        <v>18</v>
      </c>
      <c r="I464" s="92">
        <v>1</v>
      </c>
      <c r="J464" s="92">
        <v>0</v>
      </c>
      <c r="K464" s="92">
        <v>6.4958</v>
      </c>
      <c r="L464" s="92" t="s">
        <v>75</v>
      </c>
      <c r="M464" s="92" t="s">
        <v>76</v>
      </c>
      <c r="N464" s="92" t="s">
        <v>77</v>
      </c>
      <c r="O464" s="92" t="b">
        <v>1</v>
      </c>
      <c r="P464" s="92"/>
      <c r="Q464" s="92" t="s">
        <v>79</v>
      </c>
      <c r="R464" s="92" t="s">
        <v>80</v>
      </c>
      <c r="S464" s="92" t="b">
        <v>0</v>
      </c>
      <c r="T464" s="100">
        <v>1</v>
      </c>
      <c r="U464" s="100">
        <v>9.7639588168907121E+18</v>
      </c>
      <c r="V464" s="100"/>
    </row>
    <row r="465" spans="4:22" ht="15" customHeight="1">
      <c r="D465" s="98" t="b">
        <v>0</v>
      </c>
      <c r="E465" s="93">
        <v>0</v>
      </c>
      <c r="F465" s="91">
        <v>3</v>
      </c>
      <c r="G465" s="91" t="s">
        <v>74</v>
      </c>
      <c r="H465" s="92">
        <v>19</v>
      </c>
      <c r="I465" s="92">
        <v>0</v>
      </c>
      <c r="J465" s="92">
        <v>0</v>
      </c>
      <c r="K465" s="92">
        <v>8.0500000000000007</v>
      </c>
      <c r="L465" s="92" t="s">
        <v>75</v>
      </c>
      <c r="M465" s="92" t="s">
        <v>76</v>
      </c>
      <c r="N465" s="92" t="s">
        <v>77</v>
      </c>
      <c r="O465" s="92" t="b">
        <v>1</v>
      </c>
      <c r="P465" s="92"/>
      <c r="Q465" s="92" t="s">
        <v>79</v>
      </c>
      <c r="R465" s="92" t="s">
        <v>80</v>
      </c>
      <c r="S465" s="92" t="b">
        <v>1</v>
      </c>
      <c r="T465" s="100">
        <v>1</v>
      </c>
      <c r="U465" s="100">
        <v>1.16872631627986E+19</v>
      </c>
      <c r="V465" s="100"/>
    </row>
    <row r="466" spans="4:22" ht="15" customHeight="1">
      <c r="D466" s="98" t="b">
        <v>0</v>
      </c>
      <c r="E466" s="93">
        <v>0</v>
      </c>
      <c r="F466" s="91">
        <v>1</v>
      </c>
      <c r="G466" s="91" t="s">
        <v>74</v>
      </c>
      <c r="H466" s="92">
        <v>22</v>
      </c>
      <c r="I466" s="92">
        <v>0</v>
      </c>
      <c r="J466" s="92">
        <v>0</v>
      </c>
      <c r="K466" s="92">
        <v>135.63329999999999</v>
      </c>
      <c r="L466" s="92" t="s">
        <v>78</v>
      </c>
      <c r="M466" s="92" t="s">
        <v>82</v>
      </c>
      <c r="N466" s="92" t="s">
        <v>77</v>
      </c>
      <c r="O466" s="92" t="b">
        <v>1</v>
      </c>
      <c r="P466" s="92"/>
      <c r="Q466" s="92" t="s">
        <v>84</v>
      </c>
      <c r="R466" s="92" t="s">
        <v>80</v>
      </c>
      <c r="S466" s="92" t="b">
        <v>1</v>
      </c>
      <c r="T466" s="100">
        <v>1</v>
      </c>
      <c r="U466" s="100">
        <v>1.5126853954165148E+19</v>
      </c>
      <c r="V466" s="100"/>
    </row>
    <row r="467" spans="4:22" ht="15" customHeight="1">
      <c r="D467" s="98" t="b">
        <v>0</v>
      </c>
      <c r="E467" s="93">
        <v>0</v>
      </c>
      <c r="F467" s="91">
        <v>3</v>
      </c>
      <c r="G467" s="91" t="s">
        <v>81</v>
      </c>
      <c r="H467" s="92">
        <v>3</v>
      </c>
      <c r="I467" s="92">
        <v>3</v>
      </c>
      <c r="J467" s="92">
        <v>1</v>
      </c>
      <c r="K467" s="92">
        <v>21.074999999999999</v>
      </c>
      <c r="L467" s="92" t="s">
        <v>75</v>
      </c>
      <c r="M467" s="92" t="s">
        <v>76</v>
      </c>
      <c r="N467" s="92" t="s">
        <v>89</v>
      </c>
      <c r="O467" s="92" t="b">
        <v>0</v>
      </c>
      <c r="P467" s="92"/>
      <c r="Q467" s="92" t="s">
        <v>79</v>
      </c>
      <c r="R467" s="92" t="s">
        <v>80</v>
      </c>
      <c r="S467" s="92" t="b">
        <v>0</v>
      </c>
      <c r="T467" s="100">
        <v>1</v>
      </c>
      <c r="U467" s="100">
        <v>1.518602606051642E+19</v>
      </c>
      <c r="V467" s="100"/>
    </row>
    <row r="468" spans="4:22" ht="15" customHeight="1">
      <c r="D468" s="98" t="b">
        <v>0</v>
      </c>
      <c r="E468" s="93">
        <v>1</v>
      </c>
      <c r="F468" s="91">
        <v>1</v>
      </c>
      <c r="G468" s="91" t="s">
        <v>81</v>
      </c>
      <c r="H468" s="92"/>
      <c r="I468" s="92">
        <v>1</v>
      </c>
      <c r="J468" s="92">
        <v>0</v>
      </c>
      <c r="K468" s="92">
        <v>82.1708</v>
      </c>
      <c r="L468" s="92" t="s">
        <v>78</v>
      </c>
      <c r="M468" s="92" t="s">
        <v>82</v>
      </c>
      <c r="N468" s="92" t="s">
        <v>83</v>
      </c>
      <c r="O468" s="92" t="b">
        <v>0</v>
      </c>
      <c r="P468" s="92"/>
      <c r="Q468" s="92" t="s">
        <v>84</v>
      </c>
      <c r="R468" s="92" t="s">
        <v>85</v>
      </c>
      <c r="S468" s="92" t="b">
        <v>0</v>
      </c>
      <c r="T468" s="100">
        <v>1</v>
      </c>
      <c r="U468" s="100">
        <v>1.3274321820880239E+19</v>
      </c>
      <c r="V468" s="100"/>
    </row>
    <row r="469" spans="4:22" ht="15" customHeight="1">
      <c r="D469" s="98" t="b">
        <v>0</v>
      </c>
      <c r="E469" s="93">
        <v>1</v>
      </c>
      <c r="F469" s="91">
        <v>3</v>
      </c>
      <c r="G469" s="91" t="s">
        <v>81</v>
      </c>
      <c r="H469" s="92">
        <v>22</v>
      </c>
      <c r="I469" s="92">
        <v>0</v>
      </c>
      <c r="J469" s="92">
        <v>0</v>
      </c>
      <c r="K469" s="92">
        <v>7.25</v>
      </c>
      <c r="L469" s="92" t="s">
        <v>75</v>
      </c>
      <c r="M469" s="92" t="s">
        <v>76</v>
      </c>
      <c r="N469" s="92" t="s">
        <v>83</v>
      </c>
      <c r="O469" s="92" t="b">
        <v>0</v>
      </c>
      <c r="P469" s="92"/>
      <c r="Q469" s="92" t="s">
        <v>79</v>
      </c>
      <c r="R469" s="92" t="s">
        <v>85</v>
      </c>
      <c r="S469" s="92" t="b">
        <v>1</v>
      </c>
      <c r="T469" s="100">
        <v>1</v>
      </c>
      <c r="U469" s="100">
        <v>1.4022616202591274E+17</v>
      </c>
      <c r="V469" s="100"/>
    </row>
    <row r="470" spans="4:22" ht="15" customHeight="1">
      <c r="D470" s="98" t="b">
        <v>0</v>
      </c>
      <c r="E470" s="93">
        <v>0</v>
      </c>
      <c r="F470" s="91">
        <v>1</v>
      </c>
      <c r="G470" s="91" t="s">
        <v>74</v>
      </c>
      <c r="H470" s="92">
        <v>27</v>
      </c>
      <c r="I470" s="92">
        <v>0</v>
      </c>
      <c r="J470" s="92">
        <v>2</v>
      </c>
      <c r="K470" s="92">
        <v>211.5</v>
      </c>
      <c r="L470" s="92" t="s">
        <v>78</v>
      </c>
      <c r="M470" s="92" t="s">
        <v>82</v>
      </c>
      <c r="N470" s="92" t="s">
        <v>77</v>
      </c>
      <c r="O470" s="92" t="b">
        <v>1</v>
      </c>
      <c r="P470" s="92" t="s">
        <v>78</v>
      </c>
      <c r="Q470" s="92" t="s">
        <v>84</v>
      </c>
      <c r="R470" s="92" t="s">
        <v>80</v>
      </c>
      <c r="S470" s="92" t="b">
        <v>0</v>
      </c>
      <c r="T470" s="100">
        <v>0</v>
      </c>
      <c r="U470" s="100">
        <v>3.9637510251488031E+18</v>
      </c>
      <c r="V470" s="100"/>
    </row>
    <row r="471" spans="4:22" ht="15" customHeight="1">
      <c r="D471" s="98" t="b">
        <v>0</v>
      </c>
      <c r="E471" s="93">
        <v>0</v>
      </c>
      <c r="F471" s="91">
        <v>3</v>
      </c>
      <c r="G471" s="91" t="s">
        <v>74</v>
      </c>
      <c r="H471" s="92">
        <v>20</v>
      </c>
      <c r="I471" s="92">
        <v>0</v>
      </c>
      <c r="J471" s="92">
        <v>0</v>
      </c>
      <c r="K471" s="92">
        <v>4.0125000000000002</v>
      </c>
      <c r="L471" s="92" t="s">
        <v>78</v>
      </c>
      <c r="M471" s="92" t="s">
        <v>76</v>
      </c>
      <c r="N471" s="92" t="s">
        <v>77</v>
      </c>
      <c r="O471" s="92" t="b">
        <v>1</v>
      </c>
      <c r="P471" s="92"/>
      <c r="Q471" s="92" t="s">
        <v>84</v>
      </c>
      <c r="R471" s="92" t="s">
        <v>80</v>
      </c>
      <c r="S471" s="92" t="b">
        <v>1</v>
      </c>
      <c r="T471" s="100">
        <v>1</v>
      </c>
      <c r="U471" s="100">
        <v>3.3628875525125586E+18</v>
      </c>
      <c r="V471" s="100"/>
    </row>
    <row r="472" spans="4:22" ht="15" customHeight="1">
      <c r="D472" s="98" t="b">
        <v>0</v>
      </c>
      <c r="E472" s="93">
        <v>0</v>
      </c>
      <c r="F472" s="91">
        <v>3</v>
      </c>
      <c r="G472" s="91" t="s">
        <v>74</v>
      </c>
      <c r="H472" s="92">
        <v>19</v>
      </c>
      <c r="I472" s="92">
        <v>0</v>
      </c>
      <c r="J472" s="92">
        <v>0</v>
      </c>
      <c r="K472" s="92">
        <v>7.7750000000000004</v>
      </c>
      <c r="L472" s="92" t="s">
        <v>75</v>
      </c>
      <c r="M472" s="92" t="s">
        <v>76</v>
      </c>
      <c r="N472" s="92" t="s">
        <v>77</v>
      </c>
      <c r="O472" s="92" t="b">
        <v>1</v>
      </c>
      <c r="P472" s="92"/>
      <c r="Q472" s="92" t="s">
        <v>79</v>
      </c>
      <c r="R472" s="92" t="s">
        <v>80</v>
      </c>
      <c r="S472" s="92" t="b">
        <v>1</v>
      </c>
      <c r="T472" s="100">
        <v>1</v>
      </c>
      <c r="U472" s="100">
        <v>4.0277358255597779E+17</v>
      </c>
      <c r="V472" s="100"/>
    </row>
    <row r="473" spans="4:22" ht="15" customHeight="1">
      <c r="D473" s="98" t="b">
        <v>0</v>
      </c>
      <c r="E473" s="93">
        <v>1</v>
      </c>
      <c r="F473" s="91">
        <v>1</v>
      </c>
      <c r="G473" s="91" t="s">
        <v>81</v>
      </c>
      <c r="H473" s="92">
        <v>42</v>
      </c>
      <c r="I473" s="92">
        <v>0</v>
      </c>
      <c r="J473" s="92">
        <v>0</v>
      </c>
      <c r="K473" s="92">
        <v>227.52500000000001</v>
      </c>
      <c r="L473" s="92" t="s">
        <v>78</v>
      </c>
      <c r="M473" s="92" t="s">
        <v>82</v>
      </c>
      <c r="N473" s="92" t="s">
        <v>83</v>
      </c>
      <c r="O473" s="92" t="b">
        <v>0</v>
      </c>
      <c r="P473" s="92"/>
      <c r="Q473" s="92" t="s">
        <v>84</v>
      </c>
      <c r="R473" s="92" t="s">
        <v>85</v>
      </c>
      <c r="S473" s="92" t="b">
        <v>1</v>
      </c>
      <c r="T473" s="100">
        <v>1</v>
      </c>
      <c r="U473" s="100">
        <v>3.0809417054859156E+18</v>
      </c>
      <c r="V473" s="100"/>
    </row>
    <row r="474" spans="4:22" ht="15" customHeight="1">
      <c r="D474" s="98" t="b">
        <v>0</v>
      </c>
      <c r="E474" s="93">
        <v>1</v>
      </c>
      <c r="F474" s="91">
        <v>3</v>
      </c>
      <c r="G474" s="91" t="s">
        <v>81</v>
      </c>
      <c r="H474" s="92">
        <v>1</v>
      </c>
      <c r="I474" s="92">
        <v>0</v>
      </c>
      <c r="J474" s="92">
        <v>2</v>
      </c>
      <c r="K474" s="92">
        <v>15.7417</v>
      </c>
      <c r="L474" s="92" t="s">
        <v>78</v>
      </c>
      <c r="M474" s="92" t="s">
        <v>76</v>
      </c>
      <c r="N474" s="92" t="s">
        <v>89</v>
      </c>
      <c r="O474" s="92" t="b">
        <v>0</v>
      </c>
      <c r="P474" s="92"/>
      <c r="Q474" s="92" t="s">
        <v>84</v>
      </c>
      <c r="R474" s="92" t="s">
        <v>85</v>
      </c>
      <c r="S474" s="92" t="b">
        <v>0</v>
      </c>
      <c r="T474" s="100">
        <v>1</v>
      </c>
      <c r="U474" s="100">
        <v>3.729886763110058E+18</v>
      </c>
      <c r="V474" s="100"/>
    </row>
    <row r="475" spans="4:22" ht="15" customHeight="1">
      <c r="D475" s="98" t="b">
        <v>0</v>
      </c>
      <c r="E475" s="93">
        <v>0</v>
      </c>
      <c r="F475" s="91">
        <v>3</v>
      </c>
      <c r="G475" s="91" t="s">
        <v>74</v>
      </c>
      <c r="H475" s="92">
        <v>32</v>
      </c>
      <c r="I475" s="92">
        <v>0</v>
      </c>
      <c r="J475" s="92">
        <v>0</v>
      </c>
      <c r="K475" s="92">
        <v>7.9249999999999998</v>
      </c>
      <c r="L475" s="92" t="s">
        <v>75</v>
      </c>
      <c r="M475" s="92" t="s">
        <v>76</v>
      </c>
      <c r="N475" s="92" t="s">
        <v>77</v>
      </c>
      <c r="O475" s="92" t="b">
        <v>1</v>
      </c>
      <c r="P475" s="92"/>
      <c r="Q475" s="92" t="s">
        <v>79</v>
      </c>
      <c r="R475" s="92" t="s">
        <v>80</v>
      </c>
      <c r="S475" s="92" t="b">
        <v>1</v>
      </c>
      <c r="T475" s="100">
        <v>1</v>
      </c>
      <c r="U475" s="100">
        <v>8.8887784333222513E+18</v>
      </c>
      <c r="V475" s="100"/>
    </row>
    <row r="476" spans="4:22" ht="15" customHeight="1">
      <c r="D476" s="98" t="b">
        <v>0</v>
      </c>
      <c r="E476" s="93">
        <v>1</v>
      </c>
      <c r="F476" s="91">
        <v>1</v>
      </c>
      <c r="G476" s="91" t="s">
        <v>81</v>
      </c>
      <c r="H476" s="92">
        <v>35</v>
      </c>
      <c r="I476" s="92">
        <v>1</v>
      </c>
      <c r="J476" s="92">
        <v>0</v>
      </c>
      <c r="K476" s="92">
        <v>52</v>
      </c>
      <c r="L476" s="92" t="s">
        <v>75</v>
      </c>
      <c r="M476" s="92" t="s">
        <v>82</v>
      </c>
      <c r="N476" s="92" t="s">
        <v>83</v>
      </c>
      <c r="O476" s="92" t="b">
        <v>0</v>
      </c>
      <c r="P476" s="92"/>
      <c r="Q476" s="92" t="s">
        <v>79</v>
      </c>
      <c r="R476" s="92" t="s">
        <v>85</v>
      </c>
      <c r="S476" s="92" t="b">
        <v>0</v>
      </c>
      <c r="T476" s="100">
        <v>1</v>
      </c>
      <c r="U476" s="100">
        <v>1.0396023877366708E+19</v>
      </c>
      <c r="V476" s="100"/>
    </row>
    <row r="477" spans="4:22" ht="15" customHeight="1">
      <c r="D477" s="98" t="b">
        <v>0</v>
      </c>
      <c r="E477" s="93">
        <v>0</v>
      </c>
      <c r="F477" s="91">
        <v>3</v>
      </c>
      <c r="G477" s="91" t="s">
        <v>74</v>
      </c>
      <c r="H477" s="92"/>
      <c r="I477" s="92">
        <v>0</v>
      </c>
      <c r="J477" s="92">
        <v>0</v>
      </c>
      <c r="K477" s="92">
        <v>7.8958000000000004</v>
      </c>
      <c r="L477" s="92" t="s">
        <v>75</v>
      </c>
      <c r="M477" s="92" t="s">
        <v>76</v>
      </c>
      <c r="N477" s="92" t="s">
        <v>77</v>
      </c>
      <c r="O477" s="92" t="b">
        <v>1</v>
      </c>
      <c r="P477" s="92"/>
      <c r="Q477" s="92" t="s">
        <v>79</v>
      </c>
      <c r="R477" s="92" t="s">
        <v>80</v>
      </c>
      <c r="S477" s="92" t="b">
        <v>1</v>
      </c>
      <c r="T477" s="100">
        <v>1</v>
      </c>
      <c r="U477" s="100">
        <v>9.9740171854948762E+18</v>
      </c>
      <c r="V477" s="100"/>
    </row>
    <row r="478" spans="4:22" ht="15" customHeight="1">
      <c r="D478" s="98" t="b">
        <v>0</v>
      </c>
      <c r="E478" s="93">
        <v>0</v>
      </c>
      <c r="F478" s="91">
        <v>2</v>
      </c>
      <c r="G478" s="91" t="s">
        <v>74</v>
      </c>
      <c r="H478" s="92">
        <v>18</v>
      </c>
      <c r="I478" s="92">
        <v>0</v>
      </c>
      <c r="J478" s="92">
        <v>0</v>
      </c>
      <c r="K478" s="92">
        <v>73.5</v>
      </c>
      <c r="L478" s="92" t="s">
        <v>75</v>
      </c>
      <c r="M478" s="92" t="s">
        <v>90</v>
      </c>
      <c r="N478" s="92" t="s">
        <v>77</v>
      </c>
      <c r="O478" s="92" t="b">
        <v>1</v>
      </c>
      <c r="P478" s="92"/>
      <c r="Q478" s="92" t="s">
        <v>79</v>
      </c>
      <c r="R478" s="92" t="s">
        <v>80</v>
      </c>
      <c r="S478" s="92" t="b">
        <v>1</v>
      </c>
      <c r="T478" s="100">
        <v>1</v>
      </c>
      <c r="U478" s="100">
        <v>9.8595214266693714E+18</v>
      </c>
      <c r="V478" s="100"/>
    </row>
    <row r="479" spans="4:22" ht="15" customHeight="1">
      <c r="D479" s="98" t="b">
        <v>0</v>
      </c>
      <c r="E479" s="93">
        <v>0</v>
      </c>
      <c r="F479" s="91">
        <v>3</v>
      </c>
      <c r="G479" s="91" t="s">
        <v>74</v>
      </c>
      <c r="H479" s="92">
        <v>1</v>
      </c>
      <c r="I479" s="92">
        <v>5</v>
      </c>
      <c r="J479" s="92">
        <v>2</v>
      </c>
      <c r="K479" s="92">
        <v>46.9</v>
      </c>
      <c r="L479" s="92" t="s">
        <v>75</v>
      </c>
      <c r="M479" s="92" t="s">
        <v>76</v>
      </c>
      <c r="N479" s="92" t="s">
        <v>89</v>
      </c>
      <c r="O479" s="92" t="b">
        <v>0</v>
      </c>
      <c r="P479" s="92"/>
      <c r="Q479" s="92" t="s">
        <v>79</v>
      </c>
      <c r="R479" s="92" t="s">
        <v>80</v>
      </c>
      <c r="S479" s="92" t="b">
        <v>0</v>
      </c>
      <c r="T479" s="100">
        <v>1</v>
      </c>
      <c r="U479" s="100">
        <v>1.7442180517547616E+19</v>
      </c>
      <c r="V479" s="100"/>
    </row>
    <row r="480" spans="4:22" ht="15" customHeight="1">
      <c r="D480" s="98" t="b">
        <v>0</v>
      </c>
      <c r="E480" s="93">
        <v>1</v>
      </c>
      <c r="F480" s="91">
        <v>2</v>
      </c>
      <c r="G480" s="91" t="s">
        <v>81</v>
      </c>
      <c r="H480" s="92">
        <v>36</v>
      </c>
      <c r="I480" s="92">
        <v>0</v>
      </c>
      <c r="J480" s="92">
        <v>0</v>
      </c>
      <c r="K480" s="92">
        <v>13</v>
      </c>
      <c r="L480" s="92" t="s">
        <v>75</v>
      </c>
      <c r="M480" s="92" t="s">
        <v>90</v>
      </c>
      <c r="N480" s="92" t="s">
        <v>83</v>
      </c>
      <c r="O480" s="92" t="b">
        <v>0</v>
      </c>
      <c r="P480" s="92"/>
      <c r="Q480" s="92" t="s">
        <v>79</v>
      </c>
      <c r="R480" s="92" t="s">
        <v>85</v>
      </c>
      <c r="S480" s="92" t="b">
        <v>1</v>
      </c>
      <c r="T480" s="100">
        <v>1</v>
      </c>
      <c r="U480" s="100">
        <v>1.7774438631915842E+19</v>
      </c>
      <c r="V480" s="100"/>
    </row>
    <row r="481" spans="4:22" ht="15" customHeight="1">
      <c r="D481" s="98" t="b">
        <v>0</v>
      </c>
      <c r="E481" s="93">
        <v>0</v>
      </c>
      <c r="F481" s="91">
        <v>3</v>
      </c>
      <c r="G481" s="91" t="s">
        <v>74</v>
      </c>
      <c r="H481" s="92"/>
      <c r="I481" s="92">
        <v>0</v>
      </c>
      <c r="J481" s="92">
        <v>0</v>
      </c>
      <c r="K481" s="92">
        <v>7.7291999999999996</v>
      </c>
      <c r="L481" s="92" t="s">
        <v>86</v>
      </c>
      <c r="M481" s="92" t="s">
        <v>76</v>
      </c>
      <c r="N481" s="92" t="s">
        <v>77</v>
      </c>
      <c r="O481" s="92" t="b">
        <v>1</v>
      </c>
      <c r="P481" s="92"/>
      <c r="Q481" s="92" t="s">
        <v>87</v>
      </c>
      <c r="R481" s="92" t="s">
        <v>80</v>
      </c>
      <c r="S481" s="92" t="b">
        <v>1</v>
      </c>
      <c r="T481" s="100">
        <v>1</v>
      </c>
      <c r="U481" s="100">
        <v>1.3784661343896109E+19</v>
      </c>
      <c r="V481" s="100"/>
    </row>
    <row r="482" spans="4:22" ht="15" customHeight="1">
      <c r="D482" s="98" t="b">
        <v>0</v>
      </c>
      <c r="E482" s="93">
        <v>1</v>
      </c>
      <c r="F482" s="91">
        <v>2</v>
      </c>
      <c r="G482" s="91" t="s">
        <v>81</v>
      </c>
      <c r="H482" s="92">
        <v>17</v>
      </c>
      <c r="I482" s="92">
        <v>0</v>
      </c>
      <c r="J482" s="92">
        <v>0</v>
      </c>
      <c r="K482" s="92">
        <v>12</v>
      </c>
      <c r="L482" s="92" t="s">
        <v>78</v>
      </c>
      <c r="M482" s="92" t="s">
        <v>90</v>
      </c>
      <c r="N482" s="92" t="s">
        <v>83</v>
      </c>
      <c r="O482" s="92" t="b">
        <v>0</v>
      </c>
      <c r="P482" s="92"/>
      <c r="Q482" s="92" t="s">
        <v>84</v>
      </c>
      <c r="R482" s="92" t="s">
        <v>85</v>
      </c>
      <c r="S482" s="92" t="b">
        <v>1</v>
      </c>
      <c r="T482" s="100">
        <v>1</v>
      </c>
      <c r="U482" s="100">
        <v>2.1901370580397627E+18</v>
      </c>
      <c r="V482" s="100"/>
    </row>
    <row r="483" spans="4:22" ht="15" customHeight="1">
      <c r="D483" s="98" t="b">
        <v>0</v>
      </c>
      <c r="E483" s="93">
        <v>1</v>
      </c>
      <c r="F483" s="91">
        <v>1</v>
      </c>
      <c r="G483" s="91" t="s">
        <v>74</v>
      </c>
      <c r="H483" s="92">
        <v>36</v>
      </c>
      <c r="I483" s="92">
        <v>1</v>
      </c>
      <c r="J483" s="92">
        <v>2</v>
      </c>
      <c r="K483" s="92">
        <v>120</v>
      </c>
      <c r="L483" s="92" t="s">
        <v>75</v>
      </c>
      <c r="M483" s="92" t="s">
        <v>82</v>
      </c>
      <c r="N483" s="92" t="s">
        <v>77</v>
      </c>
      <c r="O483" s="92" t="b">
        <v>1</v>
      </c>
      <c r="P483" s="92" t="s">
        <v>94</v>
      </c>
      <c r="Q483" s="92" t="s">
        <v>79</v>
      </c>
      <c r="R483" s="92" t="s">
        <v>85</v>
      </c>
      <c r="S483" s="92" t="b">
        <v>0</v>
      </c>
      <c r="T483" s="100">
        <v>0</v>
      </c>
      <c r="U483" s="100">
        <v>6.2201613671659981E+17</v>
      </c>
      <c r="V483" s="100"/>
    </row>
    <row r="484" spans="4:22" ht="15" customHeight="1">
      <c r="D484" s="98" t="b">
        <v>0</v>
      </c>
      <c r="E484" s="93">
        <v>1</v>
      </c>
      <c r="F484" s="91">
        <v>3</v>
      </c>
      <c r="G484" s="91" t="s">
        <v>74</v>
      </c>
      <c r="H484" s="92">
        <v>21</v>
      </c>
      <c r="I484" s="92">
        <v>0</v>
      </c>
      <c r="J484" s="92">
        <v>0</v>
      </c>
      <c r="K484" s="92">
        <v>7.7957999999999998</v>
      </c>
      <c r="L484" s="92" t="s">
        <v>75</v>
      </c>
      <c r="M484" s="92" t="s">
        <v>76</v>
      </c>
      <c r="N484" s="92" t="s">
        <v>77</v>
      </c>
      <c r="O484" s="92" t="b">
        <v>1</v>
      </c>
      <c r="P484" s="92"/>
      <c r="Q484" s="92" t="s">
        <v>79</v>
      </c>
      <c r="R484" s="92" t="s">
        <v>85</v>
      </c>
      <c r="S484" s="92" t="b">
        <v>1</v>
      </c>
      <c r="T484" s="100">
        <v>1</v>
      </c>
      <c r="U484" s="100">
        <v>6.3339418440474102E+18</v>
      </c>
      <c r="V484" s="100"/>
    </row>
    <row r="485" spans="4:22" ht="15" customHeight="1">
      <c r="D485" s="98" t="b">
        <v>0</v>
      </c>
      <c r="E485" s="93">
        <v>0</v>
      </c>
      <c r="F485" s="91">
        <v>3</v>
      </c>
      <c r="G485" s="91" t="s">
        <v>74</v>
      </c>
      <c r="H485" s="92">
        <v>28</v>
      </c>
      <c r="I485" s="92">
        <v>2</v>
      </c>
      <c r="J485" s="92">
        <v>0</v>
      </c>
      <c r="K485" s="92">
        <v>7.9249999999999998</v>
      </c>
      <c r="L485" s="92" t="s">
        <v>75</v>
      </c>
      <c r="M485" s="92" t="s">
        <v>76</v>
      </c>
      <c r="N485" s="92" t="s">
        <v>77</v>
      </c>
      <c r="O485" s="92" t="b">
        <v>1</v>
      </c>
      <c r="P485" s="92"/>
      <c r="Q485" s="92" t="s">
        <v>79</v>
      </c>
      <c r="R485" s="92" t="s">
        <v>80</v>
      </c>
      <c r="S485" s="92" t="b">
        <v>0</v>
      </c>
      <c r="T485" s="100">
        <v>1</v>
      </c>
      <c r="U485" s="100">
        <v>1.2525992825004237E+19</v>
      </c>
      <c r="V485" s="100"/>
    </row>
    <row r="486" spans="4:22" ht="15" customHeight="1">
      <c r="D486" s="98" t="b">
        <v>0</v>
      </c>
      <c r="E486" s="93">
        <v>1</v>
      </c>
      <c r="F486" s="91">
        <v>1</v>
      </c>
      <c r="G486" s="91" t="s">
        <v>81</v>
      </c>
      <c r="H486" s="92">
        <v>23</v>
      </c>
      <c r="I486" s="92">
        <v>1</v>
      </c>
      <c r="J486" s="92">
        <v>0</v>
      </c>
      <c r="K486" s="92">
        <v>113.27500000000001</v>
      </c>
      <c r="L486" s="92" t="s">
        <v>78</v>
      </c>
      <c r="M486" s="92" t="s">
        <v>82</v>
      </c>
      <c r="N486" s="92" t="s">
        <v>83</v>
      </c>
      <c r="O486" s="92" t="b">
        <v>0</v>
      </c>
      <c r="P486" s="92" t="s">
        <v>92</v>
      </c>
      <c r="Q486" s="92" t="s">
        <v>84</v>
      </c>
      <c r="R486" s="92" t="s">
        <v>85</v>
      </c>
      <c r="S486" s="92" t="b">
        <v>0</v>
      </c>
      <c r="T486" s="100">
        <v>0</v>
      </c>
      <c r="U486" s="100">
        <v>2.8656227826443817E+18</v>
      </c>
      <c r="V486" s="100"/>
    </row>
    <row r="487" spans="4:22" ht="15" customHeight="1">
      <c r="D487" s="98" t="b">
        <v>0</v>
      </c>
      <c r="E487" s="93">
        <v>1</v>
      </c>
      <c r="F487" s="91">
        <v>3</v>
      </c>
      <c r="G487" s="91" t="s">
        <v>81</v>
      </c>
      <c r="H487" s="92">
        <v>24</v>
      </c>
      <c r="I487" s="92">
        <v>0</v>
      </c>
      <c r="J487" s="92">
        <v>2</v>
      </c>
      <c r="K487" s="92">
        <v>16.7</v>
      </c>
      <c r="L487" s="92" t="s">
        <v>75</v>
      </c>
      <c r="M487" s="92" t="s">
        <v>76</v>
      </c>
      <c r="N487" s="92" t="s">
        <v>83</v>
      </c>
      <c r="O487" s="92" t="b">
        <v>0</v>
      </c>
      <c r="P487" s="92" t="s">
        <v>91</v>
      </c>
      <c r="Q487" s="92" t="s">
        <v>79</v>
      </c>
      <c r="R487" s="92" t="s">
        <v>85</v>
      </c>
      <c r="S487" s="92" t="b">
        <v>0</v>
      </c>
      <c r="T487" s="100">
        <v>0</v>
      </c>
      <c r="U487" s="100">
        <v>2.1637785777642127E+18</v>
      </c>
      <c r="V487" s="100"/>
    </row>
    <row r="488" spans="4:22" ht="15" customHeight="1">
      <c r="D488" s="98" t="b">
        <v>0</v>
      </c>
      <c r="E488" s="93">
        <v>0</v>
      </c>
      <c r="F488" s="91">
        <v>3</v>
      </c>
      <c r="G488" s="91" t="s">
        <v>74</v>
      </c>
      <c r="H488" s="92">
        <v>22</v>
      </c>
      <c r="I488" s="92">
        <v>0</v>
      </c>
      <c r="J488" s="92">
        <v>0</v>
      </c>
      <c r="K488" s="92">
        <v>7.7957999999999998</v>
      </c>
      <c r="L488" s="92" t="s">
        <v>75</v>
      </c>
      <c r="M488" s="92" t="s">
        <v>76</v>
      </c>
      <c r="N488" s="92" t="s">
        <v>77</v>
      </c>
      <c r="O488" s="92" t="b">
        <v>1</v>
      </c>
      <c r="P488" s="92"/>
      <c r="Q488" s="92" t="s">
        <v>79</v>
      </c>
      <c r="R488" s="92" t="s">
        <v>80</v>
      </c>
      <c r="S488" s="92" t="b">
        <v>1</v>
      </c>
      <c r="T488" s="100">
        <v>1</v>
      </c>
      <c r="U488" s="100">
        <v>1.4568774562278971E+19</v>
      </c>
      <c r="V488" s="100"/>
    </row>
    <row r="489" spans="4:22" ht="15" customHeight="1">
      <c r="D489" s="98" t="b">
        <v>0</v>
      </c>
      <c r="E489" s="93">
        <v>0</v>
      </c>
      <c r="F489" s="91">
        <v>3</v>
      </c>
      <c r="G489" s="91" t="s">
        <v>81</v>
      </c>
      <c r="H489" s="92">
        <v>31</v>
      </c>
      <c r="I489" s="92">
        <v>0</v>
      </c>
      <c r="J489" s="92">
        <v>0</v>
      </c>
      <c r="K489" s="92">
        <v>7.8541999999999996</v>
      </c>
      <c r="L489" s="92" t="s">
        <v>75</v>
      </c>
      <c r="M489" s="92" t="s">
        <v>76</v>
      </c>
      <c r="N489" s="92" t="s">
        <v>83</v>
      </c>
      <c r="O489" s="92" t="b">
        <v>0</v>
      </c>
      <c r="P489" s="92"/>
      <c r="Q489" s="92" t="s">
        <v>79</v>
      </c>
      <c r="R489" s="92" t="s">
        <v>80</v>
      </c>
      <c r="S489" s="92" t="b">
        <v>1</v>
      </c>
      <c r="T489" s="100">
        <v>1</v>
      </c>
      <c r="U489" s="100">
        <v>1.1243997416623165E+19</v>
      </c>
      <c r="V489" s="100"/>
    </row>
    <row r="490" spans="4:22" ht="15" customHeight="1">
      <c r="D490" s="98" t="b">
        <v>0</v>
      </c>
      <c r="E490" s="93">
        <v>0</v>
      </c>
      <c r="F490" s="91">
        <v>2</v>
      </c>
      <c r="G490" s="91" t="s">
        <v>74</v>
      </c>
      <c r="H490" s="92">
        <v>46</v>
      </c>
      <c r="I490" s="92">
        <v>0</v>
      </c>
      <c r="J490" s="92">
        <v>0</v>
      </c>
      <c r="K490" s="92">
        <v>26</v>
      </c>
      <c r="L490" s="92" t="s">
        <v>75</v>
      </c>
      <c r="M490" s="92" t="s">
        <v>90</v>
      </c>
      <c r="N490" s="92" t="s">
        <v>77</v>
      </c>
      <c r="O490" s="92" t="b">
        <v>1</v>
      </c>
      <c r="P490" s="92"/>
      <c r="Q490" s="92" t="s">
        <v>79</v>
      </c>
      <c r="R490" s="92" t="s">
        <v>80</v>
      </c>
      <c r="S490" s="92" t="b">
        <v>1</v>
      </c>
      <c r="T490" s="100">
        <v>1</v>
      </c>
      <c r="U490" s="100">
        <v>1.4739951861777175E+19</v>
      </c>
      <c r="V490" s="100"/>
    </row>
    <row r="491" spans="4:22" ht="15" customHeight="1">
      <c r="D491" s="98" t="b">
        <v>0</v>
      </c>
      <c r="E491" s="93">
        <v>0</v>
      </c>
      <c r="F491" s="91">
        <v>2</v>
      </c>
      <c r="G491" s="91" t="s">
        <v>74</v>
      </c>
      <c r="H491" s="92">
        <v>23</v>
      </c>
      <c r="I491" s="92">
        <v>0</v>
      </c>
      <c r="J491" s="92">
        <v>0</v>
      </c>
      <c r="K491" s="92">
        <v>10.5</v>
      </c>
      <c r="L491" s="92" t="s">
        <v>75</v>
      </c>
      <c r="M491" s="92" t="s">
        <v>90</v>
      </c>
      <c r="N491" s="92" t="s">
        <v>77</v>
      </c>
      <c r="O491" s="92" t="b">
        <v>1</v>
      </c>
      <c r="P491" s="92"/>
      <c r="Q491" s="92" t="s">
        <v>79</v>
      </c>
      <c r="R491" s="92" t="s">
        <v>80</v>
      </c>
      <c r="S491" s="92" t="b">
        <v>1</v>
      </c>
      <c r="T491" s="100">
        <v>1</v>
      </c>
      <c r="U491" s="100">
        <v>4.2863651780836306E+18</v>
      </c>
      <c r="V491" s="100"/>
    </row>
    <row r="492" spans="4:22" ht="15" customHeight="1">
      <c r="D492" s="98" t="b">
        <v>0</v>
      </c>
      <c r="E492" s="93">
        <v>1</v>
      </c>
      <c r="F492" s="91">
        <v>2</v>
      </c>
      <c r="G492" s="91" t="s">
        <v>81</v>
      </c>
      <c r="H492" s="92">
        <v>28</v>
      </c>
      <c r="I492" s="92">
        <v>0</v>
      </c>
      <c r="J492" s="92">
        <v>0</v>
      </c>
      <c r="K492" s="92">
        <v>12.65</v>
      </c>
      <c r="L492" s="92" t="s">
        <v>75</v>
      </c>
      <c r="M492" s="92" t="s">
        <v>90</v>
      </c>
      <c r="N492" s="92" t="s">
        <v>83</v>
      </c>
      <c r="O492" s="92" t="b">
        <v>0</v>
      </c>
      <c r="P492" s="92"/>
      <c r="Q492" s="92" t="s">
        <v>79</v>
      </c>
      <c r="R492" s="92" t="s">
        <v>85</v>
      </c>
      <c r="S492" s="92" t="b">
        <v>1</v>
      </c>
      <c r="T492" s="100">
        <v>1</v>
      </c>
      <c r="U492" s="100">
        <v>4.361213675756948E+18</v>
      </c>
      <c r="V492" s="100"/>
    </row>
    <row r="493" spans="4:22" ht="15" customHeight="1">
      <c r="D493" s="98" t="b">
        <v>0</v>
      </c>
      <c r="E493" s="93">
        <v>1</v>
      </c>
      <c r="F493" s="91">
        <v>3</v>
      </c>
      <c r="G493" s="91" t="s">
        <v>74</v>
      </c>
      <c r="H493" s="92">
        <v>39</v>
      </c>
      <c r="I493" s="92">
        <v>0</v>
      </c>
      <c r="J493" s="92">
        <v>0</v>
      </c>
      <c r="K493" s="92">
        <v>7.9249999999999998</v>
      </c>
      <c r="L493" s="92" t="s">
        <v>75</v>
      </c>
      <c r="M493" s="92" t="s">
        <v>76</v>
      </c>
      <c r="N493" s="92" t="s">
        <v>77</v>
      </c>
      <c r="O493" s="92" t="b">
        <v>1</v>
      </c>
      <c r="P493" s="92"/>
      <c r="Q493" s="92" t="s">
        <v>79</v>
      </c>
      <c r="R493" s="92" t="s">
        <v>85</v>
      </c>
      <c r="S493" s="92" t="b">
        <v>1</v>
      </c>
      <c r="T493" s="100">
        <v>1</v>
      </c>
      <c r="U493" s="100">
        <v>1.190231009174358E+19</v>
      </c>
      <c r="V493" s="100"/>
    </row>
    <row r="494" spans="4:22" ht="15" customHeight="1">
      <c r="D494" s="98" t="b">
        <v>0</v>
      </c>
      <c r="E494" s="93">
        <v>0</v>
      </c>
      <c r="F494" s="91">
        <v>3</v>
      </c>
      <c r="G494" s="91" t="s">
        <v>74</v>
      </c>
      <c r="H494" s="92">
        <v>26</v>
      </c>
      <c r="I494" s="92">
        <v>0</v>
      </c>
      <c r="J494" s="92">
        <v>0</v>
      </c>
      <c r="K494" s="92">
        <v>8.0500000000000007</v>
      </c>
      <c r="L494" s="92" t="s">
        <v>75</v>
      </c>
      <c r="M494" s="92" t="s">
        <v>76</v>
      </c>
      <c r="N494" s="92" t="s">
        <v>77</v>
      </c>
      <c r="O494" s="92" t="b">
        <v>1</v>
      </c>
      <c r="P494" s="92"/>
      <c r="Q494" s="92" t="s">
        <v>79</v>
      </c>
      <c r="R494" s="92" t="s">
        <v>80</v>
      </c>
      <c r="S494" s="92" t="b">
        <v>1</v>
      </c>
      <c r="T494" s="100">
        <v>1</v>
      </c>
      <c r="U494" s="100">
        <v>1.289431666809311E+19</v>
      </c>
      <c r="V494" s="100"/>
    </row>
    <row r="495" spans="4:22" ht="15" customHeight="1">
      <c r="D495" s="98" t="b">
        <v>0</v>
      </c>
      <c r="E495" s="93">
        <v>0</v>
      </c>
      <c r="F495" s="91">
        <v>3</v>
      </c>
      <c r="G495" s="91" t="s">
        <v>81</v>
      </c>
      <c r="H495" s="92">
        <v>21</v>
      </c>
      <c r="I495" s="92">
        <v>1</v>
      </c>
      <c r="J495" s="92">
        <v>0</v>
      </c>
      <c r="K495" s="92">
        <v>9.8249999999999993</v>
      </c>
      <c r="L495" s="92" t="s">
        <v>75</v>
      </c>
      <c r="M495" s="92" t="s">
        <v>76</v>
      </c>
      <c r="N495" s="92" t="s">
        <v>83</v>
      </c>
      <c r="O495" s="92" t="b">
        <v>0</v>
      </c>
      <c r="P495" s="92"/>
      <c r="Q495" s="92" t="s">
        <v>79</v>
      </c>
      <c r="R495" s="92" t="s">
        <v>80</v>
      </c>
      <c r="S495" s="92" t="b">
        <v>0</v>
      </c>
      <c r="T495" s="100">
        <v>1</v>
      </c>
      <c r="U495" s="100">
        <v>1.8419397183740369E+19</v>
      </c>
      <c r="V495" s="100"/>
    </row>
    <row r="496" spans="4:22" ht="15" customHeight="1">
      <c r="D496" s="98" t="b">
        <v>0</v>
      </c>
      <c r="E496" s="93">
        <v>0</v>
      </c>
      <c r="F496" s="91">
        <v>3</v>
      </c>
      <c r="G496" s="91" t="s">
        <v>74</v>
      </c>
      <c r="H496" s="92">
        <v>28</v>
      </c>
      <c r="I496" s="92">
        <v>1</v>
      </c>
      <c r="J496" s="92">
        <v>0</v>
      </c>
      <c r="K496" s="92">
        <v>15.85</v>
      </c>
      <c r="L496" s="92" t="s">
        <v>75</v>
      </c>
      <c r="M496" s="92" t="s">
        <v>76</v>
      </c>
      <c r="N496" s="92" t="s">
        <v>77</v>
      </c>
      <c r="O496" s="92" t="b">
        <v>1</v>
      </c>
      <c r="P496" s="92"/>
      <c r="Q496" s="92" t="s">
        <v>79</v>
      </c>
      <c r="R496" s="92" t="s">
        <v>80</v>
      </c>
      <c r="S496" s="92" t="b">
        <v>0</v>
      </c>
      <c r="T496" s="100">
        <v>1</v>
      </c>
      <c r="U496" s="100">
        <v>6.9856149505936015E+18</v>
      </c>
      <c r="V496" s="100"/>
    </row>
    <row r="497" spans="4:22" ht="15" customHeight="1">
      <c r="D497" s="98" t="b">
        <v>0</v>
      </c>
      <c r="E497" s="93">
        <v>0</v>
      </c>
      <c r="F497" s="91">
        <v>3</v>
      </c>
      <c r="G497" s="91" t="s">
        <v>81</v>
      </c>
      <c r="H497" s="92">
        <v>20</v>
      </c>
      <c r="I497" s="92">
        <v>0</v>
      </c>
      <c r="J497" s="92">
        <v>0</v>
      </c>
      <c r="K497" s="92">
        <v>8.6624999999999996</v>
      </c>
      <c r="L497" s="92" t="s">
        <v>75</v>
      </c>
      <c r="M497" s="92" t="s">
        <v>76</v>
      </c>
      <c r="N497" s="92" t="s">
        <v>83</v>
      </c>
      <c r="O497" s="92" t="b">
        <v>0</v>
      </c>
      <c r="P497" s="92"/>
      <c r="Q497" s="92" t="s">
        <v>79</v>
      </c>
      <c r="R497" s="92" t="s">
        <v>80</v>
      </c>
      <c r="S497" s="92" t="b">
        <v>1</v>
      </c>
      <c r="T497" s="100">
        <v>1</v>
      </c>
      <c r="U497" s="100">
        <v>1.7122572319411782E+19</v>
      </c>
      <c r="V497" s="100"/>
    </row>
    <row r="498" spans="4:22" ht="15" customHeight="1">
      <c r="D498" s="98" t="b">
        <v>0</v>
      </c>
      <c r="E498" s="93">
        <v>0</v>
      </c>
      <c r="F498" s="91">
        <v>2</v>
      </c>
      <c r="G498" s="91" t="s">
        <v>74</v>
      </c>
      <c r="H498" s="92">
        <v>34</v>
      </c>
      <c r="I498" s="92">
        <v>1</v>
      </c>
      <c r="J498" s="92">
        <v>0</v>
      </c>
      <c r="K498" s="92">
        <v>21</v>
      </c>
      <c r="L498" s="92" t="s">
        <v>75</v>
      </c>
      <c r="M498" s="92" t="s">
        <v>90</v>
      </c>
      <c r="N498" s="92" t="s">
        <v>77</v>
      </c>
      <c r="O498" s="92" t="b">
        <v>1</v>
      </c>
      <c r="P498" s="92"/>
      <c r="Q498" s="92" t="s">
        <v>79</v>
      </c>
      <c r="R498" s="92" t="s">
        <v>80</v>
      </c>
      <c r="S498" s="92" t="b">
        <v>0</v>
      </c>
      <c r="T498" s="100">
        <v>1</v>
      </c>
      <c r="U498" s="100">
        <v>1.4315027719450681E+19</v>
      </c>
      <c r="V498" s="100"/>
    </row>
    <row r="499" spans="4:22" ht="15" customHeight="1">
      <c r="D499" s="98" t="b">
        <v>0</v>
      </c>
      <c r="E499" s="93">
        <v>0</v>
      </c>
      <c r="F499" s="91">
        <v>3</v>
      </c>
      <c r="G499" s="91" t="s">
        <v>74</v>
      </c>
      <c r="H499" s="92">
        <v>51</v>
      </c>
      <c r="I499" s="92">
        <v>0</v>
      </c>
      <c r="J499" s="92">
        <v>0</v>
      </c>
      <c r="K499" s="92">
        <v>7.75</v>
      </c>
      <c r="L499" s="92" t="s">
        <v>75</v>
      </c>
      <c r="M499" s="92" t="s">
        <v>76</v>
      </c>
      <c r="N499" s="92" t="s">
        <v>77</v>
      </c>
      <c r="O499" s="92" t="b">
        <v>1</v>
      </c>
      <c r="P499" s="92"/>
      <c r="Q499" s="92" t="s">
        <v>79</v>
      </c>
      <c r="R499" s="92" t="s">
        <v>80</v>
      </c>
      <c r="S499" s="92" t="b">
        <v>1</v>
      </c>
      <c r="T499" s="100">
        <v>1</v>
      </c>
      <c r="U499" s="100">
        <v>7.7904232330451896E+18</v>
      </c>
      <c r="V499" s="100"/>
    </row>
    <row r="500" spans="4:22" ht="15" customHeight="1">
      <c r="D500" s="98" t="b">
        <v>0</v>
      </c>
      <c r="E500" s="93">
        <v>1</v>
      </c>
      <c r="F500" s="91">
        <v>2</v>
      </c>
      <c r="G500" s="91" t="s">
        <v>74</v>
      </c>
      <c r="H500" s="92">
        <v>3</v>
      </c>
      <c r="I500" s="92">
        <v>1</v>
      </c>
      <c r="J500" s="92">
        <v>1</v>
      </c>
      <c r="K500" s="92">
        <v>18.75</v>
      </c>
      <c r="L500" s="92" t="s">
        <v>75</v>
      </c>
      <c r="M500" s="92" t="s">
        <v>90</v>
      </c>
      <c r="N500" s="92" t="s">
        <v>89</v>
      </c>
      <c r="O500" s="92" t="b">
        <v>0</v>
      </c>
      <c r="P500" s="92"/>
      <c r="Q500" s="92" t="s">
        <v>79</v>
      </c>
      <c r="R500" s="92" t="s">
        <v>85</v>
      </c>
      <c r="S500" s="92" t="b">
        <v>0</v>
      </c>
      <c r="T500" s="100">
        <v>1</v>
      </c>
      <c r="U500" s="100">
        <v>8.8661159748084378E+18</v>
      </c>
      <c r="V500" s="100"/>
    </row>
    <row r="501" spans="4:22" ht="15" customHeight="1">
      <c r="D501" s="98" t="b">
        <v>0</v>
      </c>
      <c r="E501" s="93">
        <v>0</v>
      </c>
      <c r="F501" s="91">
        <v>3</v>
      </c>
      <c r="G501" s="91" t="s">
        <v>74</v>
      </c>
      <c r="H501" s="92">
        <v>21</v>
      </c>
      <c r="I501" s="92">
        <v>0</v>
      </c>
      <c r="J501" s="92">
        <v>0</v>
      </c>
      <c r="K501" s="92">
        <v>7.7750000000000004</v>
      </c>
      <c r="L501" s="92" t="s">
        <v>75</v>
      </c>
      <c r="M501" s="92" t="s">
        <v>76</v>
      </c>
      <c r="N501" s="92" t="s">
        <v>77</v>
      </c>
      <c r="O501" s="92" t="b">
        <v>1</v>
      </c>
      <c r="P501" s="92"/>
      <c r="Q501" s="92" t="s">
        <v>79</v>
      </c>
      <c r="R501" s="92" t="s">
        <v>80</v>
      </c>
      <c r="S501" s="92" t="b">
        <v>1</v>
      </c>
      <c r="T501" s="100">
        <v>1</v>
      </c>
      <c r="U501" s="100">
        <v>1.260477823844053E+19</v>
      </c>
      <c r="V501" s="100"/>
    </row>
    <row r="502" spans="4:22" ht="15" customHeight="1">
      <c r="D502" s="98" t="b">
        <v>0</v>
      </c>
      <c r="E502" s="93">
        <v>0</v>
      </c>
      <c r="F502" s="91">
        <v>3</v>
      </c>
      <c r="G502" s="91" t="s">
        <v>81</v>
      </c>
      <c r="H502" s="92"/>
      <c r="I502" s="92">
        <v>3</v>
      </c>
      <c r="J502" s="92">
        <v>1</v>
      </c>
      <c r="K502" s="92">
        <v>25.466699999999999</v>
      </c>
      <c r="L502" s="92" t="s">
        <v>75</v>
      </c>
      <c r="M502" s="92" t="s">
        <v>76</v>
      </c>
      <c r="N502" s="92" t="s">
        <v>83</v>
      </c>
      <c r="O502" s="92" t="b">
        <v>0</v>
      </c>
      <c r="P502" s="92"/>
      <c r="Q502" s="92" t="s">
        <v>79</v>
      </c>
      <c r="R502" s="92" t="s">
        <v>80</v>
      </c>
      <c r="S502" s="92" t="b">
        <v>0</v>
      </c>
      <c r="T502" s="100">
        <v>1</v>
      </c>
      <c r="U502" s="100">
        <v>2.629625602031401E+18</v>
      </c>
      <c r="V502" s="100"/>
    </row>
    <row r="503" spans="4:22" ht="15" customHeight="1">
      <c r="D503" s="98" t="b">
        <v>0</v>
      </c>
      <c r="E503" s="93">
        <v>0</v>
      </c>
      <c r="F503" s="91">
        <v>3</v>
      </c>
      <c r="G503" s="91" t="s">
        <v>74</v>
      </c>
      <c r="H503" s="92"/>
      <c r="I503" s="92">
        <v>0</v>
      </c>
      <c r="J503" s="92">
        <v>0</v>
      </c>
      <c r="K503" s="92">
        <v>7.8958000000000004</v>
      </c>
      <c r="L503" s="92" t="s">
        <v>75</v>
      </c>
      <c r="M503" s="92" t="s">
        <v>76</v>
      </c>
      <c r="N503" s="92" t="s">
        <v>77</v>
      </c>
      <c r="O503" s="92" t="b">
        <v>1</v>
      </c>
      <c r="P503" s="92"/>
      <c r="Q503" s="92" t="s">
        <v>79</v>
      </c>
      <c r="R503" s="92" t="s">
        <v>80</v>
      </c>
      <c r="S503" s="92" t="b">
        <v>1</v>
      </c>
      <c r="T503" s="100">
        <v>1</v>
      </c>
      <c r="U503" s="100">
        <v>9.9740171854948762E+18</v>
      </c>
      <c r="V503" s="100"/>
    </row>
    <row r="504" spans="4:22" ht="15" customHeight="1">
      <c r="D504" s="98" t="b">
        <v>0</v>
      </c>
      <c r="E504" s="93">
        <v>0</v>
      </c>
      <c r="F504" s="91">
        <v>3</v>
      </c>
      <c r="G504" s="91" t="s">
        <v>74</v>
      </c>
      <c r="H504" s="92"/>
      <c r="I504" s="92">
        <v>0</v>
      </c>
      <c r="J504" s="92">
        <v>0</v>
      </c>
      <c r="K504" s="92">
        <v>6.8582999999999998</v>
      </c>
      <c r="L504" s="92" t="s">
        <v>86</v>
      </c>
      <c r="M504" s="92" t="s">
        <v>76</v>
      </c>
      <c r="N504" s="92" t="s">
        <v>77</v>
      </c>
      <c r="O504" s="92" t="b">
        <v>1</v>
      </c>
      <c r="P504" s="92"/>
      <c r="Q504" s="92" t="s">
        <v>87</v>
      </c>
      <c r="R504" s="92" t="s">
        <v>80</v>
      </c>
      <c r="S504" s="92" t="b">
        <v>1</v>
      </c>
      <c r="T504" s="100">
        <v>1</v>
      </c>
      <c r="U504" s="100">
        <v>1.4449967700683588E+19</v>
      </c>
      <c r="V504" s="100"/>
    </row>
    <row r="505" spans="4:22" ht="15" customHeight="1">
      <c r="D505" s="98" t="b">
        <v>0</v>
      </c>
      <c r="E505" s="93">
        <v>1</v>
      </c>
      <c r="F505" s="91">
        <v>1</v>
      </c>
      <c r="G505" s="91" t="s">
        <v>81</v>
      </c>
      <c r="H505" s="92">
        <v>33</v>
      </c>
      <c r="I505" s="92">
        <v>1</v>
      </c>
      <c r="J505" s="92">
        <v>0</v>
      </c>
      <c r="K505" s="92">
        <v>90</v>
      </c>
      <c r="L505" s="92" t="s">
        <v>86</v>
      </c>
      <c r="M505" s="92" t="s">
        <v>82</v>
      </c>
      <c r="N505" s="92" t="s">
        <v>83</v>
      </c>
      <c r="O505" s="92" t="b">
        <v>0</v>
      </c>
      <c r="P505" s="92" t="s">
        <v>78</v>
      </c>
      <c r="Q505" s="92" t="s">
        <v>87</v>
      </c>
      <c r="R505" s="92" t="s">
        <v>85</v>
      </c>
      <c r="S505" s="92" t="b">
        <v>0</v>
      </c>
      <c r="T505" s="100">
        <v>0</v>
      </c>
      <c r="U505" s="100">
        <v>1.7681325799605148E+19</v>
      </c>
      <c r="V505" s="100"/>
    </row>
    <row r="506" spans="4:22" ht="15" customHeight="1">
      <c r="D506" s="98" t="b">
        <v>0</v>
      </c>
      <c r="E506" s="93">
        <v>0</v>
      </c>
      <c r="F506" s="91">
        <v>2</v>
      </c>
      <c r="G506" s="91" t="s">
        <v>74</v>
      </c>
      <c r="H506" s="92"/>
      <c r="I506" s="92">
        <v>0</v>
      </c>
      <c r="J506" s="92">
        <v>0</v>
      </c>
      <c r="K506" s="92">
        <v>0</v>
      </c>
      <c r="L506" s="92" t="s">
        <v>75</v>
      </c>
      <c r="M506" s="92" t="s">
        <v>90</v>
      </c>
      <c r="N506" s="92" t="s">
        <v>77</v>
      </c>
      <c r="O506" s="92" t="b">
        <v>1</v>
      </c>
      <c r="P506" s="92"/>
      <c r="Q506" s="92" t="s">
        <v>79</v>
      </c>
      <c r="R506" s="92" t="s">
        <v>80</v>
      </c>
      <c r="S506" s="92" t="b">
        <v>1</v>
      </c>
      <c r="T506" s="100">
        <v>1</v>
      </c>
      <c r="U506" s="100">
        <v>6.2556219612342832E+16</v>
      </c>
      <c r="V506" s="100"/>
    </row>
    <row r="507" spans="4:22" ht="15" customHeight="1">
      <c r="D507" s="98" t="b">
        <v>0</v>
      </c>
      <c r="E507" s="93">
        <v>1</v>
      </c>
      <c r="F507" s="91">
        <v>3</v>
      </c>
      <c r="G507" s="91" t="s">
        <v>74</v>
      </c>
      <c r="H507" s="92">
        <v>44</v>
      </c>
      <c r="I507" s="92">
        <v>0</v>
      </c>
      <c r="J507" s="92">
        <v>0</v>
      </c>
      <c r="K507" s="92">
        <v>7.9249999999999998</v>
      </c>
      <c r="L507" s="92" t="s">
        <v>75</v>
      </c>
      <c r="M507" s="92" t="s">
        <v>76</v>
      </c>
      <c r="N507" s="92" t="s">
        <v>77</v>
      </c>
      <c r="O507" s="92" t="b">
        <v>1</v>
      </c>
      <c r="P507" s="92"/>
      <c r="Q507" s="92" t="s">
        <v>79</v>
      </c>
      <c r="R507" s="92" t="s">
        <v>85</v>
      </c>
      <c r="S507" s="92" t="b">
        <v>1</v>
      </c>
      <c r="T507" s="100">
        <v>1</v>
      </c>
      <c r="U507" s="100">
        <v>1.3376321981942088E+19</v>
      </c>
      <c r="V507" s="100"/>
    </row>
    <row r="508" spans="4:22" ht="15" customHeight="1">
      <c r="D508" s="98" t="b">
        <v>0</v>
      </c>
      <c r="E508" s="93">
        <v>0</v>
      </c>
      <c r="F508" s="91">
        <v>3</v>
      </c>
      <c r="G508" s="91" t="s">
        <v>81</v>
      </c>
      <c r="H508" s="92"/>
      <c r="I508" s="92">
        <v>0</v>
      </c>
      <c r="J508" s="92">
        <v>0</v>
      </c>
      <c r="K508" s="92">
        <v>8.0500000000000007</v>
      </c>
      <c r="L508" s="92" t="s">
        <v>75</v>
      </c>
      <c r="M508" s="92" t="s">
        <v>76</v>
      </c>
      <c r="N508" s="92" t="s">
        <v>83</v>
      </c>
      <c r="O508" s="92" t="b">
        <v>0</v>
      </c>
      <c r="P508" s="92"/>
      <c r="Q508" s="92" t="s">
        <v>79</v>
      </c>
      <c r="R508" s="92" t="s">
        <v>80</v>
      </c>
      <c r="S508" s="92" t="b">
        <v>1</v>
      </c>
      <c r="T508" s="100">
        <v>1</v>
      </c>
      <c r="U508" s="100">
        <v>3.7790314122023235E+18</v>
      </c>
      <c r="V508" s="100"/>
    </row>
    <row r="509" spans="4:22" ht="15" customHeight="1">
      <c r="D509" s="98" t="b">
        <v>0</v>
      </c>
      <c r="E509" s="93">
        <v>1</v>
      </c>
      <c r="F509" s="91">
        <v>2</v>
      </c>
      <c r="G509" s="91" t="s">
        <v>81</v>
      </c>
      <c r="H509" s="92">
        <v>34</v>
      </c>
      <c r="I509" s="92">
        <v>1</v>
      </c>
      <c r="J509" s="92">
        <v>1</v>
      </c>
      <c r="K509" s="92">
        <v>32.5</v>
      </c>
      <c r="L509" s="92" t="s">
        <v>75</v>
      </c>
      <c r="M509" s="92" t="s">
        <v>90</v>
      </c>
      <c r="N509" s="92" t="s">
        <v>83</v>
      </c>
      <c r="O509" s="92" t="b">
        <v>0</v>
      </c>
      <c r="P509" s="92"/>
      <c r="Q509" s="92" t="s">
        <v>79</v>
      </c>
      <c r="R509" s="92" t="s">
        <v>85</v>
      </c>
      <c r="S509" s="92" t="b">
        <v>0</v>
      </c>
      <c r="T509" s="100">
        <v>1</v>
      </c>
      <c r="U509" s="100">
        <v>1.6689913114570867E+19</v>
      </c>
      <c r="V509" s="100"/>
    </row>
    <row r="510" spans="4:22" ht="15" customHeight="1">
      <c r="D510" s="98" t="b">
        <v>0</v>
      </c>
      <c r="E510" s="93">
        <v>1</v>
      </c>
      <c r="F510" s="91">
        <v>2</v>
      </c>
      <c r="G510" s="91" t="s">
        <v>81</v>
      </c>
      <c r="H510" s="92">
        <v>18</v>
      </c>
      <c r="I510" s="92">
        <v>0</v>
      </c>
      <c r="J510" s="92">
        <v>2</v>
      </c>
      <c r="K510" s="92">
        <v>13</v>
      </c>
      <c r="L510" s="92" t="s">
        <v>75</v>
      </c>
      <c r="M510" s="92" t="s">
        <v>90</v>
      </c>
      <c r="N510" s="92" t="s">
        <v>83</v>
      </c>
      <c r="O510" s="92" t="b">
        <v>0</v>
      </c>
      <c r="P510" s="92"/>
      <c r="Q510" s="92" t="s">
        <v>79</v>
      </c>
      <c r="R510" s="92" t="s">
        <v>85</v>
      </c>
      <c r="S510" s="92" t="b">
        <v>0</v>
      </c>
      <c r="T510" s="100">
        <v>1</v>
      </c>
      <c r="U510" s="100">
        <v>7.9829823003234263E+18</v>
      </c>
      <c r="V510" s="100"/>
    </row>
    <row r="511" spans="4:22" ht="15" customHeight="1">
      <c r="D511" s="98" t="b">
        <v>0</v>
      </c>
      <c r="E511" s="93">
        <v>0</v>
      </c>
      <c r="F511" s="91">
        <v>2</v>
      </c>
      <c r="G511" s="91" t="s">
        <v>74</v>
      </c>
      <c r="H511" s="92">
        <v>30</v>
      </c>
      <c r="I511" s="92">
        <v>0</v>
      </c>
      <c r="J511" s="92">
        <v>0</v>
      </c>
      <c r="K511" s="92">
        <v>13</v>
      </c>
      <c r="L511" s="92" t="s">
        <v>75</v>
      </c>
      <c r="M511" s="92" t="s">
        <v>90</v>
      </c>
      <c r="N511" s="92" t="s">
        <v>77</v>
      </c>
      <c r="O511" s="92" t="b">
        <v>1</v>
      </c>
      <c r="P511" s="92"/>
      <c r="Q511" s="92" t="s">
        <v>79</v>
      </c>
      <c r="R511" s="92" t="s">
        <v>80</v>
      </c>
      <c r="S511" s="92" t="b">
        <v>1</v>
      </c>
      <c r="T511" s="100">
        <v>1</v>
      </c>
      <c r="U511" s="100">
        <v>2.9145808561328507E+18</v>
      </c>
      <c r="V511" s="100"/>
    </row>
    <row r="512" spans="4:22" ht="15" customHeight="1">
      <c r="D512" s="98" t="b">
        <v>0</v>
      </c>
      <c r="E512" s="93">
        <v>0</v>
      </c>
      <c r="F512" s="91">
        <v>3</v>
      </c>
      <c r="G512" s="91" t="s">
        <v>81</v>
      </c>
      <c r="H512" s="92">
        <v>10</v>
      </c>
      <c r="I512" s="92">
        <v>0</v>
      </c>
      <c r="J512" s="92">
        <v>2</v>
      </c>
      <c r="K512" s="92">
        <v>24.15</v>
      </c>
      <c r="L512" s="92" t="s">
        <v>75</v>
      </c>
      <c r="M512" s="92" t="s">
        <v>76</v>
      </c>
      <c r="N512" s="92" t="s">
        <v>89</v>
      </c>
      <c r="O512" s="92" t="b">
        <v>0</v>
      </c>
      <c r="P512" s="92"/>
      <c r="Q512" s="92" t="s">
        <v>79</v>
      </c>
      <c r="R512" s="92" t="s">
        <v>80</v>
      </c>
      <c r="S512" s="92" t="b">
        <v>0</v>
      </c>
      <c r="T512" s="100">
        <v>1</v>
      </c>
      <c r="U512" s="100">
        <v>1.3046817082456654E+19</v>
      </c>
      <c r="V512" s="100"/>
    </row>
    <row r="513" spans="4:22" ht="15" customHeight="1">
      <c r="D513" s="98" t="b">
        <v>0</v>
      </c>
      <c r="E513" s="93">
        <v>0</v>
      </c>
      <c r="F513" s="91">
        <v>3</v>
      </c>
      <c r="G513" s="91" t="s">
        <v>74</v>
      </c>
      <c r="H513" s="92"/>
      <c r="I513" s="92">
        <v>0</v>
      </c>
      <c r="J513" s="92">
        <v>0</v>
      </c>
      <c r="K513" s="92">
        <v>7.8958000000000004</v>
      </c>
      <c r="L513" s="92" t="s">
        <v>78</v>
      </c>
      <c r="M513" s="92" t="s">
        <v>76</v>
      </c>
      <c r="N513" s="92" t="s">
        <v>77</v>
      </c>
      <c r="O513" s="92" t="b">
        <v>1</v>
      </c>
      <c r="P513" s="92"/>
      <c r="Q513" s="92" t="s">
        <v>84</v>
      </c>
      <c r="R513" s="92" t="s">
        <v>80</v>
      </c>
      <c r="S513" s="92" t="b">
        <v>1</v>
      </c>
      <c r="T513" s="100">
        <v>1</v>
      </c>
      <c r="U513" s="100">
        <v>8.7246319171734496E+16</v>
      </c>
      <c r="V513" s="100"/>
    </row>
    <row r="514" spans="4:22" ht="15" customHeight="1">
      <c r="D514" s="98" t="b">
        <v>0</v>
      </c>
      <c r="E514" s="93">
        <v>0</v>
      </c>
      <c r="F514" s="91">
        <v>3</v>
      </c>
      <c r="G514" s="91" t="s">
        <v>74</v>
      </c>
      <c r="H514" s="92">
        <v>21</v>
      </c>
      <c r="I514" s="92">
        <v>0</v>
      </c>
      <c r="J514" s="92">
        <v>0</v>
      </c>
      <c r="K514" s="92">
        <v>7.7332999999999998</v>
      </c>
      <c r="L514" s="92" t="s">
        <v>86</v>
      </c>
      <c r="M514" s="92" t="s">
        <v>76</v>
      </c>
      <c r="N514" s="92" t="s">
        <v>77</v>
      </c>
      <c r="O514" s="92" t="b">
        <v>1</v>
      </c>
      <c r="P514" s="92"/>
      <c r="Q514" s="92" t="s">
        <v>87</v>
      </c>
      <c r="R514" s="92" t="s">
        <v>80</v>
      </c>
      <c r="S514" s="92" t="b">
        <v>1</v>
      </c>
      <c r="T514" s="100">
        <v>1</v>
      </c>
      <c r="U514" s="100">
        <v>1.2391927442363412E+19</v>
      </c>
      <c r="V514" s="100"/>
    </row>
    <row r="515" spans="4:22" ht="15" customHeight="1">
      <c r="D515" s="98" t="b">
        <v>0</v>
      </c>
      <c r="E515" s="93">
        <v>0</v>
      </c>
      <c r="F515" s="91">
        <v>3</v>
      </c>
      <c r="G515" s="91" t="s">
        <v>74</v>
      </c>
      <c r="H515" s="92">
        <v>29</v>
      </c>
      <c r="I515" s="92">
        <v>0</v>
      </c>
      <c r="J515" s="92">
        <v>0</v>
      </c>
      <c r="K515" s="92">
        <v>7.875</v>
      </c>
      <c r="L515" s="92" t="s">
        <v>75</v>
      </c>
      <c r="M515" s="92" t="s">
        <v>76</v>
      </c>
      <c r="N515" s="92" t="s">
        <v>77</v>
      </c>
      <c r="O515" s="92" t="b">
        <v>1</v>
      </c>
      <c r="P515" s="92"/>
      <c r="Q515" s="92" t="s">
        <v>79</v>
      </c>
      <c r="R515" s="92" t="s">
        <v>80</v>
      </c>
      <c r="S515" s="92" t="b">
        <v>1</v>
      </c>
      <c r="T515" s="100">
        <v>1</v>
      </c>
      <c r="U515" s="100">
        <v>1.3815120140096625E+19</v>
      </c>
      <c r="V515" s="100"/>
    </row>
    <row r="516" spans="4:22" ht="15" customHeight="1">
      <c r="D516" s="98" t="b">
        <v>0</v>
      </c>
      <c r="E516" s="93">
        <v>0</v>
      </c>
      <c r="F516" s="91">
        <v>3</v>
      </c>
      <c r="G516" s="91" t="s">
        <v>81</v>
      </c>
      <c r="H516" s="92">
        <v>28</v>
      </c>
      <c r="I516" s="92">
        <v>1</v>
      </c>
      <c r="J516" s="92">
        <v>1</v>
      </c>
      <c r="K516" s="92">
        <v>14.4</v>
      </c>
      <c r="L516" s="92" t="s">
        <v>75</v>
      </c>
      <c r="M516" s="92" t="s">
        <v>76</v>
      </c>
      <c r="N516" s="92" t="s">
        <v>83</v>
      </c>
      <c r="O516" s="92" t="b">
        <v>0</v>
      </c>
      <c r="P516" s="92"/>
      <c r="Q516" s="92" t="s">
        <v>79</v>
      </c>
      <c r="R516" s="92" t="s">
        <v>80</v>
      </c>
      <c r="S516" s="92" t="b">
        <v>0</v>
      </c>
      <c r="T516" s="100">
        <v>1</v>
      </c>
      <c r="U516" s="100">
        <v>1.2734184007178334E+19</v>
      </c>
      <c r="V516" s="100"/>
    </row>
    <row r="517" spans="4:22" ht="15" customHeight="1">
      <c r="D517" s="98" t="b">
        <v>0</v>
      </c>
      <c r="E517" s="93">
        <v>0</v>
      </c>
      <c r="F517" s="91">
        <v>3</v>
      </c>
      <c r="G517" s="91" t="s">
        <v>74</v>
      </c>
      <c r="H517" s="92">
        <v>18</v>
      </c>
      <c r="I517" s="92">
        <v>1</v>
      </c>
      <c r="J517" s="92">
        <v>1</v>
      </c>
      <c r="K517" s="92">
        <v>20.212499999999999</v>
      </c>
      <c r="L517" s="92" t="s">
        <v>75</v>
      </c>
      <c r="M517" s="92" t="s">
        <v>76</v>
      </c>
      <c r="N517" s="92" t="s">
        <v>77</v>
      </c>
      <c r="O517" s="92" t="b">
        <v>1</v>
      </c>
      <c r="P517" s="92"/>
      <c r="Q517" s="92" t="s">
        <v>79</v>
      </c>
      <c r="R517" s="92" t="s">
        <v>80</v>
      </c>
      <c r="S517" s="92" t="b">
        <v>0</v>
      </c>
      <c r="T517" s="100">
        <v>1</v>
      </c>
      <c r="U517" s="100">
        <v>9.7022169148908134E+18</v>
      </c>
      <c r="V517" s="100"/>
    </row>
    <row r="518" spans="4:22" ht="15" customHeight="1">
      <c r="D518" s="98" t="b">
        <v>0</v>
      </c>
      <c r="E518" s="93">
        <v>0</v>
      </c>
      <c r="F518" s="91">
        <v>3</v>
      </c>
      <c r="G518" s="91" t="s">
        <v>74</v>
      </c>
      <c r="H518" s="92"/>
      <c r="I518" s="92">
        <v>0</v>
      </c>
      <c r="J518" s="92">
        <v>0</v>
      </c>
      <c r="K518" s="92">
        <v>7.25</v>
      </c>
      <c r="L518" s="92" t="s">
        <v>75</v>
      </c>
      <c r="M518" s="92" t="s">
        <v>76</v>
      </c>
      <c r="N518" s="92" t="s">
        <v>77</v>
      </c>
      <c r="O518" s="92" t="b">
        <v>1</v>
      </c>
      <c r="P518" s="92"/>
      <c r="Q518" s="92" t="s">
        <v>79</v>
      </c>
      <c r="R518" s="92" t="s">
        <v>80</v>
      </c>
      <c r="S518" s="92" t="b">
        <v>1</v>
      </c>
      <c r="T518" s="100">
        <v>1</v>
      </c>
      <c r="U518" s="100">
        <v>7.721722907412951E+18</v>
      </c>
      <c r="V518" s="100"/>
    </row>
    <row r="519" spans="4:22" ht="15" customHeight="1">
      <c r="D519" s="98" t="b">
        <v>0</v>
      </c>
      <c r="E519" s="93">
        <v>1</v>
      </c>
      <c r="F519" s="91">
        <v>2</v>
      </c>
      <c r="G519" s="91" t="s">
        <v>81</v>
      </c>
      <c r="H519" s="92">
        <v>28</v>
      </c>
      <c r="I519" s="92">
        <v>1</v>
      </c>
      <c r="J519" s="92">
        <v>0</v>
      </c>
      <c r="K519" s="92">
        <v>26</v>
      </c>
      <c r="L519" s="92" t="s">
        <v>75</v>
      </c>
      <c r="M519" s="92" t="s">
        <v>90</v>
      </c>
      <c r="N519" s="92" t="s">
        <v>83</v>
      </c>
      <c r="O519" s="92" t="b">
        <v>0</v>
      </c>
      <c r="P519" s="92"/>
      <c r="Q519" s="92" t="s">
        <v>79</v>
      </c>
      <c r="R519" s="92" t="s">
        <v>85</v>
      </c>
      <c r="S519" s="92" t="b">
        <v>0</v>
      </c>
      <c r="T519" s="100">
        <v>1</v>
      </c>
      <c r="U519" s="100">
        <v>6.7643680766488617E+18</v>
      </c>
      <c r="V519" s="100"/>
    </row>
    <row r="520" spans="4:22" ht="15" customHeight="1">
      <c r="D520" s="98" t="b">
        <v>0</v>
      </c>
      <c r="E520" s="93">
        <v>1</v>
      </c>
      <c r="F520" s="91">
        <v>2</v>
      </c>
      <c r="G520" s="91" t="s">
        <v>81</v>
      </c>
      <c r="H520" s="92">
        <v>19</v>
      </c>
      <c r="I520" s="92">
        <v>0</v>
      </c>
      <c r="J520" s="92">
        <v>0</v>
      </c>
      <c r="K520" s="92">
        <v>26</v>
      </c>
      <c r="L520" s="92" t="s">
        <v>75</v>
      </c>
      <c r="M520" s="92" t="s">
        <v>90</v>
      </c>
      <c r="N520" s="92" t="s">
        <v>83</v>
      </c>
      <c r="O520" s="92" t="b">
        <v>0</v>
      </c>
      <c r="P520" s="92"/>
      <c r="Q520" s="92" t="s">
        <v>79</v>
      </c>
      <c r="R520" s="92" t="s">
        <v>85</v>
      </c>
      <c r="S520" s="92" t="b">
        <v>1</v>
      </c>
      <c r="T520" s="100">
        <v>1</v>
      </c>
      <c r="U520" s="100">
        <v>7.4580240570719283E+18</v>
      </c>
      <c r="V520" s="100"/>
    </row>
    <row r="521" spans="4:22" ht="15" customHeight="1">
      <c r="D521" s="98" t="b">
        <v>0</v>
      </c>
      <c r="E521" s="93">
        <v>0</v>
      </c>
      <c r="F521" s="91">
        <v>3</v>
      </c>
      <c r="G521" s="91" t="s">
        <v>74</v>
      </c>
      <c r="H521" s="92"/>
      <c r="I521" s="92">
        <v>0</v>
      </c>
      <c r="J521" s="92">
        <v>0</v>
      </c>
      <c r="K521" s="92">
        <v>7.75</v>
      </c>
      <c r="L521" s="92" t="s">
        <v>86</v>
      </c>
      <c r="M521" s="92" t="s">
        <v>76</v>
      </c>
      <c r="N521" s="92" t="s">
        <v>77</v>
      </c>
      <c r="O521" s="92" t="b">
        <v>1</v>
      </c>
      <c r="P521" s="92"/>
      <c r="Q521" s="92" t="s">
        <v>87</v>
      </c>
      <c r="R521" s="92" t="s">
        <v>80</v>
      </c>
      <c r="S521" s="92" t="b">
        <v>1</v>
      </c>
      <c r="T521" s="100">
        <v>1</v>
      </c>
      <c r="U521" s="100">
        <v>1.8659124076202463E+18</v>
      </c>
      <c r="V521" s="100"/>
    </row>
    <row r="522" spans="4:22" ht="15" customHeight="1">
      <c r="D522" s="98" t="b">
        <v>0</v>
      </c>
      <c r="E522" s="93">
        <v>1</v>
      </c>
      <c r="F522" s="91">
        <v>3</v>
      </c>
      <c r="G522" s="91" t="s">
        <v>74</v>
      </c>
      <c r="H522" s="92">
        <v>32</v>
      </c>
      <c r="I522" s="92">
        <v>0</v>
      </c>
      <c r="J522" s="92">
        <v>0</v>
      </c>
      <c r="K522" s="92">
        <v>8.0500000000000007</v>
      </c>
      <c r="L522" s="92" t="s">
        <v>75</v>
      </c>
      <c r="M522" s="92" t="s">
        <v>76</v>
      </c>
      <c r="N522" s="92" t="s">
        <v>77</v>
      </c>
      <c r="O522" s="92" t="b">
        <v>1</v>
      </c>
      <c r="P522" s="92" t="s">
        <v>88</v>
      </c>
      <c r="Q522" s="92" t="s">
        <v>79</v>
      </c>
      <c r="R522" s="92" t="s">
        <v>85</v>
      </c>
      <c r="S522" s="92" t="b">
        <v>1</v>
      </c>
      <c r="T522" s="100">
        <v>0</v>
      </c>
      <c r="U522" s="100">
        <v>2.9994866837807549E+18</v>
      </c>
      <c r="V522" s="100"/>
    </row>
    <row r="523" spans="4:22" ht="15" customHeight="1">
      <c r="D523" s="98" t="b">
        <v>0</v>
      </c>
      <c r="E523" s="93">
        <v>1</v>
      </c>
      <c r="F523" s="91">
        <v>1</v>
      </c>
      <c r="G523" s="91" t="s">
        <v>74</v>
      </c>
      <c r="H523" s="92">
        <v>28</v>
      </c>
      <c r="I523" s="92">
        <v>0</v>
      </c>
      <c r="J523" s="92">
        <v>0</v>
      </c>
      <c r="K523" s="92">
        <v>26.55</v>
      </c>
      <c r="L523" s="92" t="s">
        <v>75</v>
      </c>
      <c r="M523" s="92" t="s">
        <v>82</v>
      </c>
      <c r="N523" s="92" t="s">
        <v>77</v>
      </c>
      <c r="O523" s="92" t="b">
        <v>1</v>
      </c>
      <c r="P523" s="92" t="s">
        <v>78</v>
      </c>
      <c r="Q523" s="92" t="s">
        <v>79</v>
      </c>
      <c r="R523" s="92" t="s">
        <v>85</v>
      </c>
      <c r="S523" s="92" t="b">
        <v>1</v>
      </c>
      <c r="T523" s="100">
        <v>0</v>
      </c>
      <c r="U523" s="100">
        <v>6.5221419368392678E+17</v>
      </c>
      <c r="V523" s="100"/>
    </row>
    <row r="524" spans="4:22" ht="15" customHeight="1">
      <c r="D524" s="98" t="b">
        <v>0</v>
      </c>
      <c r="E524" s="93">
        <v>1</v>
      </c>
      <c r="F524" s="91">
        <v>3</v>
      </c>
      <c r="G524" s="91" t="s">
        <v>81</v>
      </c>
      <c r="H524" s="92"/>
      <c r="I524" s="92">
        <v>1</v>
      </c>
      <c r="J524" s="92">
        <v>0</v>
      </c>
      <c r="K524" s="92">
        <v>16.100000000000001</v>
      </c>
      <c r="L524" s="92" t="s">
        <v>75</v>
      </c>
      <c r="M524" s="92" t="s">
        <v>76</v>
      </c>
      <c r="N524" s="92" t="s">
        <v>83</v>
      </c>
      <c r="O524" s="92" t="b">
        <v>0</v>
      </c>
      <c r="P524" s="92"/>
      <c r="Q524" s="92" t="s">
        <v>79</v>
      </c>
      <c r="R524" s="92" t="s">
        <v>85</v>
      </c>
      <c r="S524" s="92" t="b">
        <v>0</v>
      </c>
      <c r="T524" s="100">
        <v>1</v>
      </c>
      <c r="U524" s="100">
        <v>1.2418284531753687E+19</v>
      </c>
      <c r="V524" s="100"/>
    </row>
    <row r="525" spans="4:22" ht="15" customHeight="1">
      <c r="D525" s="98" t="b">
        <v>0</v>
      </c>
      <c r="E525" s="93">
        <v>1</v>
      </c>
      <c r="F525" s="91">
        <v>2</v>
      </c>
      <c r="G525" s="91" t="s">
        <v>81</v>
      </c>
      <c r="H525" s="92">
        <v>42</v>
      </c>
      <c r="I525" s="92">
        <v>1</v>
      </c>
      <c r="J525" s="92">
        <v>0</v>
      </c>
      <c r="K525" s="92">
        <v>26</v>
      </c>
      <c r="L525" s="92" t="s">
        <v>75</v>
      </c>
      <c r="M525" s="92" t="s">
        <v>90</v>
      </c>
      <c r="N525" s="92" t="s">
        <v>83</v>
      </c>
      <c r="O525" s="92" t="b">
        <v>0</v>
      </c>
      <c r="P525" s="92"/>
      <c r="Q525" s="92" t="s">
        <v>79</v>
      </c>
      <c r="R525" s="92" t="s">
        <v>85</v>
      </c>
      <c r="S525" s="92" t="b">
        <v>0</v>
      </c>
      <c r="T525" s="100">
        <v>1</v>
      </c>
      <c r="U525" s="100">
        <v>1.2006831564195592E+19</v>
      </c>
      <c r="V525" s="100"/>
    </row>
    <row r="526" spans="4:22" ht="15" customHeight="1">
      <c r="D526" s="98" t="b">
        <v>0</v>
      </c>
      <c r="E526" s="93">
        <v>0</v>
      </c>
      <c r="F526" s="91">
        <v>3</v>
      </c>
      <c r="G526" s="91" t="s">
        <v>74</v>
      </c>
      <c r="H526" s="92">
        <v>17</v>
      </c>
      <c r="I526" s="92">
        <v>0</v>
      </c>
      <c r="J526" s="92">
        <v>0</v>
      </c>
      <c r="K526" s="92">
        <v>7.125</v>
      </c>
      <c r="L526" s="92" t="s">
        <v>75</v>
      </c>
      <c r="M526" s="92" t="s">
        <v>76</v>
      </c>
      <c r="N526" s="92" t="s">
        <v>77</v>
      </c>
      <c r="O526" s="92" t="b">
        <v>1</v>
      </c>
      <c r="P526" s="92"/>
      <c r="Q526" s="92" t="s">
        <v>79</v>
      </c>
      <c r="R526" s="92" t="s">
        <v>80</v>
      </c>
      <c r="S526" s="92" t="b">
        <v>1</v>
      </c>
      <c r="T526" s="100">
        <v>1</v>
      </c>
      <c r="U526" s="100">
        <v>1.5214491355512988E+19</v>
      </c>
      <c r="V526" s="100"/>
    </row>
    <row r="527" spans="4:22" ht="15" customHeight="1">
      <c r="D527" s="98" t="b">
        <v>0</v>
      </c>
      <c r="E527" s="93">
        <v>0</v>
      </c>
      <c r="F527" s="91">
        <v>1</v>
      </c>
      <c r="G527" s="91" t="s">
        <v>74</v>
      </c>
      <c r="H527" s="92">
        <v>50</v>
      </c>
      <c r="I527" s="92">
        <v>1</v>
      </c>
      <c r="J527" s="92">
        <v>0</v>
      </c>
      <c r="K527" s="92">
        <v>55.9</v>
      </c>
      <c r="L527" s="92" t="s">
        <v>75</v>
      </c>
      <c r="M527" s="92" t="s">
        <v>82</v>
      </c>
      <c r="N527" s="92" t="s">
        <v>77</v>
      </c>
      <c r="O527" s="92" t="b">
        <v>1</v>
      </c>
      <c r="P527" s="92" t="s">
        <v>88</v>
      </c>
      <c r="Q527" s="92" t="s">
        <v>79</v>
      </c>
      <c r="R527" s="92" t="s">
        <v>80</v>
      </c>
      <c r="S527" s="92" t="b">
        <v>0</v>
      </c>
      <c r="T527" s="100">
        <v>0</v>
      </c>
      <c r="U527" s="100">
        <v>8.0663019996151675E+18</v>
      </c>
      <c r="V527" s="100"/>
    </row>
    <row r="528" spans="4:22" ht="15" customHeight="1">
      <c r="D528" s="98" t="b">
        <v>0</v>
      </c>
      <c r="E528" s="93">
        <v>1</v>
      </c>
      <c r="F528" s="91">
        <v>1</v>
      </c>
      <c r="G528" s="91" t="s">
        <v>81</v>
      </c>
      <c r="H528" s="92">
        <v>14</v>
      </c>
      <c r="I528" s="92">
        <v>1</v>
      </c>
      <c r="J528" s="92">
        <v>2</v>
      </c>
      <c r="K528" s="92">
        <v>120</v>
      </c>
      <c r="L528" s="92" t="s">
        <v>75</v>
      </c>
      <c r="M528" s="92" t="s">
        <v>82</v>
      </c>
      <c r="N528" s="92" t="s">
        <v>89</v>
      </c>
      <c r="O528" s="92" t="b">
        <v>0</v>
      </c>
      <c r="P528" s="92" t="s">
        <v>94</v>
      </c>
      <c r="Q528" s="92" t="s">
        <v>79</v>
      </c>
      <c r="R528" s="92" t="s">
        <v>85</v>
      </c>
      <c r="S528" s="92" t="b">
        <v>0</v>
      </c>
      <c r="T528" s="100">
        <v>0</v>
      </c>
      <c r="U528" s="100">
        <v>5.9408146183897108E+18</v>
      </c>
      <c r="V528" s="100"/>
    </row>
    <row r="529" spans="4:22" ht="15" customHeight="1">
      <c r="D529" s="98" t="b">
        <v>0</v>
      </c>
      <c r="E529" s="93">
        <v>0</v>
      </c>
      <c r="F529" s="91">
        <v>3</v>
      </c>
      <c r="G529" s="91" t="s">
        <v>81</v>
      </c>
      <c r="H529" s="92">
        <v>21</v>
      </c>
      <c r="I529" s="92">
        <v>2</v>
      </c>
      <c r="J529" s="92">
        <v>2</v>
      </c>
      <c r="K529" s="92">
        <v>34.375</v>
      </c>
      <c r="L529" s="92" t="s">
        <v>75</v>
      </c>
      <c r="M529" s="92" t="s">
        <v>76</v>
      </c>
      <c r="N529" s="92" t="s">
        <v>83</v>
      </c>
      <c r="O529" s="92" t="b">
        <v>0</v>
      </c>
      <c r="P529" s="92"/>
      <c r="Q529" s="92" t="s">
        <v>79</v>
      </c>
      <c r="R529" s="92" t="s">
        <v>80</v>
      </c>
      <c r="S529" s="92" t="b">
        <v>0</v>
      </c>
      <c r="T529" s="100">
        <v>1</v>
      </c>
      <c r="U529" s="100">
        <v>1.1987238553623284E+19</v>
      </c>
      <c r="V529" s="100"/>
    </row>
    <row r="530" spans="4:22" ht="15" customHeight="1">
      <c r="D530" s="98" t="b">
        <v>0</v>
      </c>
      <c r="E530" s="93">
        <v>1</v>
      </c>
      <c r="F530" s="91">
        <v>2</v>
      </c>
      <c r="G530" s="91" t="s">
        <v>81</v>
      </c>
      <c r="H530" s="92">
        <v>24</v>
      </c>
      <c r="I530" s="92">
        <v>2</v>
      </c>
      <c r="J530" s="92">
        <v>3</v>
      </c>
      <c r="K530" s="92">
        <v>18.75</v>
      </c>
      <c r="L530" s="92" t="s">
        <v>75</v>
      </c>
      <c r="M530" s="92" t="s">
        <v>90</v>
      </c>
      <c r="N530" s="92" t="s">
        <v>83</v>
      </c>
      <c r="O530" s="92" t="b">
        <v>0</v>
      </c>
      <c r="P530" s="92"/>
      <c r="Q530" s="92" t="s">
        <v>79</v>
      </c>
      <c r="R530" s="92" t="s">
        <v>85</v>
      </c>
      <c r="S530" s="92" t="b">
        <v>0</v>
      </c>
      <c r="T530" s="100">
        <v>1</v>
      </c>
      <c r="U530" s="100">
        <v>1.7526689372966754E+19</v>
      </c>
      <c r="V530" s="100"/>
    </row>
    <row r="531" spans="4:22" ht="15" customHeight="1">
      <c r="D531" s="98" t="b">
        <v>0</v>
      </c>
      <c r="E531" s="93">
        <v>0</v>
      </c>
      <c r="F531" s="91">
        <v>1</v>
      </c>
      <c r="G531" s="91" t="s">
        <v>74</v>
      </c>
      <c r="H531" s="92">
        <v>64</v>
      </c>
      <c r="I531" s="92">
        <v>1</v>
      </c>
      <c r="J531" s="92">
        <v>4</v>
      </c>
      <c r="K531" s="92">
        <v>263</v>
      </c>
      <c r="L531" s="92" t="s">
        <v>75</v>
      </c>
      <c r="M531" s="92" t="s">
        <v>82</v>
      </c>
      <c r="N531" s="92" t="s">
        <v>77</v>
      </c>
      <c r="O531" s="92" t="b">
        <v>1</v>
      </c>
      <c r="P531" s="92" t="s">
        <v>78</v>
      </c>
      <c r="Q531" s="92" t="s">
        <v>79</v>
      </c>
      <c r="R531" s="92" t="s">
        <v>80</v>
      </c>
      <c r="S531" s="92" t="b">
        <v>0</v>
      </c>
      <c r="T531" s="100">
        <v>0</v>
      </c>
      <c r="U531" s="100">
        <v>1.7119158581917102E+18</v>
      </c>
      <c r="V531" s="100"/>
    </row>
    <row r="532" spans="4:22" ht="15" customHeight="1">
      <c r="D532" s="98" t="b">
        <v>0</v>
      </c>
      <c r="E532" s="93">
        <v>0</v>
      </c>
      <c r="F532" s="91">
        <v>2</v>
      </c>
      <c r="G532" s="91" t="s">
        <v>74</v>
      </c>
      <c r="H532" s="92">
        <v>31</v>
      </c>
      <c r="I532" s="92">
        <v>0</v>
      </c>
      <c r="J532" s="92">
        <v>0</v>
      </c>
      <c r="K532" s="92">
        <v>10.5</v>
      </c>
      <c r="L532" s="92" t="s">
        <v>75</v>
      </c>
      <c r="M532" s="92" t="s">
        <v>90</v>
      </c>
      <c r="N532" s="92" t="s">
        <v>77</v>
      </c>
      <c r="O532" s="92" t="b">
        <v>1</v>
      </c>
      <c r="P532" s="92"/>
      <c r="Q532" s="92" t="s">
        <v>79</v>
      </c>
      <c r="R532" s="92" t="s">
        <v>80</v>
      </c>
      <c r="S532" s="92" t="b">
        <v>1</v>
      </c>
      <c r="T532" s="100">
        <v>1</v>
      </c>
      <c r="U532" s="100">
        <v>1.6116466485008876E+19</v>
      </c>
      <c r="V532" s="100"/>
    </row>
    <row r="533" spans="4:22" ht="15" customHeight="1">
      <c r="D533" s="98" t="b">
        <v>0</v>
      </c>
      <c r="E533" s="93">
        <v>1</v>
      </c>
      <c r="F533" s="91">
        <v>2</v>
      </c>
      <c r="G533" s="91" t="s">
        <v>81</v>
      </c>
      <c r="H533" s="92">
        <v>45</v>
      </c>
      <c r="I533" s="92">
        <v>1</v>
      </c>
      <c r="J533" s="92">
        <v>1</v>
      </c>
      <c r="K533" s="92">
        <v>26.25</v>
      </c>
      <c r="L533" s="92" t="s">
        <v>75</v>
      </c>
      <c r="M533" s="92" t="s">
        <v>90</v>
      </c>
      <c r="N533" s="92" t="s">
        <v>83</v>
      </c>
      <c r="O533" s="92" t="b">
        <v>0</v>
      </c>
      <c r="P533" s="92"/>
      <c r="Q533" s="92" t="s">
        <v>79</v>
      </c>
      <c r="R533" s="92" t="s">
        <v>85</v>
      </c>
      <c r="S533" s="92" t="b">
        <v>0</v>
      </c>
      <c r="T533" s="100">
        <v>1</v>
      </c>
      <c r="U533" s="100">
        <v>2.183401292534017E+18</v>
      </c>
      <c r="V533" s="100"/>
    </row>
    <row r="534" spans="4:22" ht="15" customHeight="1">
      <c r="D534" s="98" t="b">
        <v>0</v>
      </c>
      <c r="E534" s="93">
        <v>0</v>
      </c>
      <c r="F534" s="91">
        <v>3</v>
      </c>
      <c r="G534" s="91" t="s">
        <v>74</v>
      </c>
      <c r="H534" s="92">
        <v>20</v>
      </c>
      <c r="I534" s="92">
        <v>0</v>
      </c>
      <c r="J534" s="92">
        <v>0</v>
      </c>
      <c r="K534" s="92">
        <v>9.5</v>
      </c>
      <c r="L534" s="92" t="s">
        <v>75</v>
      </c>
      <c r="M534" s="92" t="s">
        <v>76</v>
      </c>
      <c r="N534" s="92" t="s">
        <v>77</v>
      </c>
      <c r="O534" s="92" t="b">
        <v>1</v>
      </c>
      <c r="P534" s="92"/>
      <c r="Q534" s="92" t="s">
        <v>79</v>
      </c>
      <c r="R534" s="92" t="s">
        <v>80</v>
      </c>
      <c r="S534" s="92" t="b">
        <v>1</v>
      </c>
      <c r="T534" s="100">
        <v>1</v>
      </c>
      <c r="U534" s="100">
        <v>5.0852125420828047E+18</v>
      </c>
      <c r="V534" s="100"/>
    </row>
    <row r="535" spans="4:22" ht="15" customHeight="1">
      <c r="D535" s="98" t="b">
        <v>0</v>
      </c>
      <c r="E535" s="93">
        <v>0</v>
      </c>
      <c r="F535" s="91">
        <v>3</v>
      </c>
      <c r="G535" s="91" t="s">
        <v>74</v>
      </c>
      <c r="H535" s="92">
        <v>25</v>
      </c>
      <c r="I535" s="92">
        <v>1</v>
      </c>
      <c r="J535" s="92">
        <v>0</v>
      </c>
      <c r="K535" s="92">
        <v>7.7750000000000004</v>
      </c>
      <c r="L535" s="92" t="s">
        <v>75</v>
      </c>
      <c r="M535" s="92" t="s">
        <v>76</v>
      </c>
      <c r="N535" s="92" t="s">
        <v>77</v>
      </c>
      <c r="O535" s="92" t="b">
        <v>1</v>
      </c>
      <c r="P535" s="92"/>
      <c r="Q535" s="92" t="s">
        <v>79</v>
      </c>
      <c r="R535" s="92" t="s">
        <v>80</v>
      </c>
      <c r="S535" s="92" t="b">
        <v>0</v>
      </c>
      <c r="T535" s="100">
        <v>1</v>
      </c>
      <c r="U535" s="100">
        <v>2.9178427565562266E+17</v>
      </c>
      <c r="V535" s="100"/>
    </row>
    <row r="536" spans="4:22" ht="15" customHeight="1">
      <c r="D536" s="98" t="b">
        <v>0</v>
      </c>
      <c r="E536" s="93">
        <v>1</v>
      </c>
      <c r="F536" s="91">
        <v>2</v>
      </c>
      <c r="G536" s="91" t="s">
        <v>81</v>
      </c>
      <c r="H536" s="92">
        <v>28</v>
      </c>
      <c r="I536" s="92">
        <v>0</v>
      </c>
      <c r="J536" s="92">
        <v>0</v>
      </c>
      <c r="K536" s="92">
        <v>13</v>
      </c>
      <c r="L536" s="92" t="s">
        <v>75</v>
      </c>
      <c r="M536" s="92" t="s">
        <v>90</v>
      </c>
      <c r="N536" s="92" t="s">
        <v>83</v>
      </c>
      <c r="O536" s="92" t="b">
        <v>0</v>
      </c>
      <c r="P536" s="92"/>
      <c r="Q536" s="92" t="s">
        <v>79</v>
      </c>
      <c r="R536" s="92" t="s">
        <v>85</v>
      </c>
      <c r="S536" s="92" t="b">
        <v>1</v>
      </c>
      <c r="T536" s="100">
        <v>1</v>
      </c>
      <c r="U536" s="100">
        <v>4.504265325952405E+18</v>
      </c>
      <c r="V536" s="100"/>
    </row>
    <row r="537" spans="4:22" ht="15" customHeight="1">
      <c r="D537" s="98" t="b">
        <v>0</v>
      </c>
      <c r="E537" s="93">
        <v>1</v>
      </c>
      <c r="F537" s="91">
        <v>3</v>
      </c>
      <c r="G537" s="91" t="s">
        <v>74</v>
      </c>
      <c r="H537" s="92"/>
      <c r="I537" s="92">
        <v>0</v>
      </c>
      <c r="J537" s="92">
        <v>0</v>
      </c>
      <c r="K537" s="92">
        <v>8.1125000000000007</v>
      </c>
      <c r="L537" s="92" t="s">
        <v>75</v>
      </c>
      <c r="M537" s="92" t="s">
        <v>76</v>
      </c>
      <c r="N537" s="92" t="s">
        <v>77</v>
      </c>
      <c r="O537" s="92" t="b">
        <v>1</v>
      </c>
      <c r="P537" s="92"/>
      <c r="Q537" s="92" t="s">
        <v>79</v>
      </c>
      <c r="R537" s="92" t="s">
        <v>85</v>
      </c>
      <c r="S537" s="92" t="b">
        <v>1</v>
      </c>
      <c r="T537" s="100">
        <v>1</v>
      </c>
      <c r="U537" s="100">
        <v>1.0216085356776792E+19</v>
      </c>
      <c r="V537" s="100"/>
    </row>
    <row r="538" spans="4:22" ht="15" customHeight="1">
      <c r="D538" s="98" t="b">
        <v>0</v>
      </c>
      <c r="E538" s="93">
        <v>1</v>
      </c>
      <c r="F538" s="91">
        <v>1</v>
      </c>
      <c r="G538" s="91" t="s">
        <v>74</v>
      </c>
      <c r="H538" s="92">
        <v>4</v>
      </c>
      <c r="I538" s="92">
        <v>0</v>
      </c>
      <c r="J538" s="92">
        <v>2</v>
      </c>
      <c r="K538" s="92">
        <v>81.8583</v>
      </c>
      <c r="L538" s="92" t="s">
        <v>75</v>
      </c>
      <c r="M538" s="92" t="s">
        <v>82</v>
      </c>
      <c r="N538" s="92" t="s">
        <v>89</v>
      </c>
      <c r="O538" s="92" t="b">
        <v>0</v>
      </c>
      <c r="P538" s="92" t="s">
        <v>93</v>
      </c>
      <c r="Q538" s="92" t="s">
        <v>79</v>
      </c>
      <c r="R538" s="92" t="s">
        <v>85</v>
      </c>
      <c r="S538" s="92" t="b">
        <v>0</v>
      </c>
      <c r="T538" s="100">
        <v>0</v>
      </c>
      <c r="U538" s="100">
        <v>6.450187366295082E+18</v>
      </c>
      <c r="V538" s="100"/>
    </row>
    <row r="539" spans="4:22" ht="15" customHeight="1">
      <c r="D539" s="98" t="b">
        <v>0</v>
      </c>
      <c r="E539" s="93">
        <v>1</v>
      </c>
      <c r="F539" s="91">
        <v>2</v>
      </c>
      <c r="G539" s="91" t="s">
        <v>81</v>
      </c>
      <c r="H539" s="92">
        <v>13</v>
      </c>
      <c r="I539" s="92">
        <v>0</v>
      </c>
      <c r="J539" s="92">
        <v>1</v>
      </c>
      <c r="K539" s="92">
        <v>19.5</v>
      </c>
      <c r="L539" s="92" t="s">
        <v>75</v>
      </c>
      <c r="M539" s="92" t="s">
        <v>90</v>
      </c>
      <c r="N539" s="92" t="s">
        <v>89</v>
      </c>
      <c r="O539" s="92" t="b">
        <v>0</v>
      </c>
      <c r="P539" s="92"/>
      <c r="Q539" s="92" t="s">
        <v>79</v>
      </c>
      <c r="R539" s="92" t="s">
        <v>85</v>
      </c>
      <c r="S539" s="92" t="b">
        <v>0</v>
      </c>
      <c r="T539" s="100">
        <v>1</v>
      </c>
      <c r="U539" s="100">
        <v>3.1648583967687419E+18</v>
      </c>
      <c r="V539" s="100"/>
    </row>
    <row r="540" spans="4:22" ht="15" customHeight="1">
      <c r="D540" s="98" t="b">
        <v>0</v>
      </c>
      <c r="E540" s="93">
        <v>1</v>
      </c>
      <c r="F540" s="91">
        <v>1</v>
      </c>
      <c r="G540" s="91" t="s">
        <v>74</v>
      </c>
      <c r="H540" s="92">
        <v>34</v>
      </c>
      <c r="I540" s="92">
        <v>0</v>
      </c>
      <c r="J540" s="92">
        <v>0</v>
      </c>
      <c r="K540" s="92">
        <v>26.55</v>
      </c>
      <c r="L540" s="92" t="s">
        <v>75</v>
      </c>
      <c r="M540" s="92" t="s">
        <v>82</v>
      </c>
      <c r="N540" s="92" t="s">
        <v>77</v>
      </c>
      <c r="O540" s="92" t="b">
        <v>1</v>
      </c>
      <c r="P540" s="92"/>
      <c r="Q540" s="92" t="s">
        <v>79</v>
      </c>
      <c r="R540" s="92" t="s">
        <v>85</v>
      </c>
      <c r="S540" s="92" t="b">
        <v>1</v>
      </c>
      <c r="T540" s="100">
        <v>1</v>
      </c>
      <c r="U540" s="100">
        <v>1.0651058139091988E+19</v>
      </c>
      <c r="V540" s="100"/>
    </row>
    <row r="541" spans="4:22" ht="15" customHeight="1">
      <c r="D541" s="98" t="b">
        <v>0</v>
      </c>
      <c r="E541" s="93">
        <v>1</v>
      </c>
      <c r="F541" s="91">
        <v>3</v>
      </c>
      <c r="G541" s="91" t="s">
        <v>81</v>
      </c>
      <c r="H541" s="92">
        <v>5</v>
      </c>
      <c r="I541" s="92">
        <v>2</v>
      </c>
      <c r="J541" s="92">
        <v>1</v>
      </c>
      <c r="K541" s="92">
        <v>19.258299999999998</v>
      </c>
      <c r="L541" s="92" t="s">
        <v>78</v>
      </c>
      <c r="M541" s="92" t="s">
        <v>76</v>
      </c>
      <c r="N541" s="92" t="s">
        <v>89</v>
      </c>
      <c r="O541" s="92" t="b">
        <v>0</v>
      </c>
      <c r="P541" s="92"/>
      <c r="Q541" s="92" t="s">
        <v>84</v>
      </c>
      <c r="R541" s="92" t="s">
        <v>85</v>
      </c>
      <c r="S541" s="92" t="b">
        <v>0</v>
      </c>
      <c r="T541" s="100">
        <v>1</v>
      </c>
      <c r="U541" s="100">
        <v>8.2851711450058752E+18</v>
      </c>
      <c r="V541" s="100"/>
    </row>
    <row r="542" spans="4:22" ht="15" customHeight="1">
      <c r="D542" s="98" t="b">
        <v>0</v>
      </c>
      <c r="E542" s="93">
        <v>1</v>
      </c>
      <c r="F542" s="91">
        <v>1</v>
      </c>
      <c r="G542" s="91" t="s">
        <v>74</v>
      </c>
      <c r="H542" s="92">
        <v>52</v>
      </c>
      <c r="I542" s="92">
        <v>0</v>
      </c>
      <c r="J542" s="92">
        <v>0</v>
      </c>
      <c r="K542" s="92">
        <v>30.5</v>
      </c>
      <c r="L542" s="92" t="s">
        <v>75</v>
      </c>
      <c r="M542" s="92" t="s">
        <v>82</v>
      </c>
      <c r="N542" s="92" t="s">
        <v>77</v>
      </c>
      <c r="O542" s="92" t="b">
        <v>1</v>
      </c>
      <c r="P542" s="92" t="s">
        <v>78</v>
      </c>
      <c r="Q542" s="92" t="s">
        <v>79</v>
      </c>
      <c r="R542" s="92" t="s">
        <v>85</v>
      </c>
      <c r="S542" s="92" t="b">
        <v>1</v>
      </c>
      <c r="T542" s="100">
        <v>0</v>
      </c>
      <c r="U542" s="100">
        <v>2.8584212501068329E+18</v>
      </c>
      <c r="V542" s="100"/>
    </row>
    <row r="543" spans="4:22" ht="15" customHeight="1">
      <c r="D543" s="98" t="b">
        <v>0</v>
      </c>
      <c r="E543" s="93">
        <v>0</v>
      </c>
      <c r="F543" s="91">
        <v>2</v>
      </c>
      <c r="G543" s="91" t="s">
        <v>74</v>
      </c>
      <c r="H543" s="92">
        <v>36</v>
      </c>
      <c r="I543" s="92">
        <v>1</v>
      </c>
      <c r="J543" s="92">
        <v>2</v>
      </c>
      <c r="K543" s="92">
        <v>27.75</v>
      </c>
      <c r="L543" s="92" t="s">
        <v>75</v>
      </c>
      <c r="M543" s="92" t="s">
        <v>90</v>
      </c>
      <c r="N543" s="92" t="s">
        <v>77</v>
      </c>
      <c r="O543" s="92" t="b">
        <v>1</v>
      </c>
      <c r="P543" s="92"/>
      <c r="Q543" s="92" t="s">
        <v>79</v>
      </c>
      <c r="R543" s="92" t="s">
        <v>80</v>
      </c>
      <c r="S543" s="92" t="b">
        <v>0</v>
      </c>
      <c r="T543" s="100">
        <v>1</v>
      </c>
      <c r="U543" s="100">
        <v>6.3662196607022776E+18</v>
      </c>
      <c r="V543" s="100"/>
    </row>
    <row r="544" spans="4:22" ht="15" customHeight="1">
      <c r="D544" s="98" t="b">
        <v>0</v>
      </c>
      <c r="E544" s="93">
        <v>0</v>
      </c>
      <c r="F544" s="91">
        <v>3</v>
      </c>
      <c r="G544" s="91" t="s">
        <v>74</v>
      </c>
      <c r="H544" s="92"/>
      <c r="I544" s="92">
        <v>1</v>
      </c>
      <c r="J544" s="92">
        <v>0</v>
      </c>
      <c r="K544" s="92">
        <v>19.966699999999999</v>
      </c>
      <c r="L544" s="92" t="s">
        <v>75</v>
      </c>
      <c r="M544" s="92" t="s">
        <v>76</v>
      </c>
      <c r="N544" s="92" t="s">
        <v>77</v>
      </c>
      <c r="O544" s="92" t="b">
        <v>1</v>
      </c>
      <c r="P544" s="92"/>
      <c r="Q544" s="92" t="s">
        <v>79</v>
      </c>
      <c r="R544" s="92" t="s">
        <v>80</v>
      </c>
      <c r="S544" s="92" t="b">
        <v>0</v>
      </c>
      <c r="T544" s="100">
        <v>1</v>
      </c>
      <c r="U544" s="100">
        <v>1.7577348956310168E+19</v>
      </c>
      <c r="V544" s="100"/>
    </row>
    <row r="545" spans="4:22" ht="15" customHeight="1">
      <c r="D545" s="98" t="b">
        <v>0</v>
      </c>
      <c r="E545" s="93">
        <v>0</v>
      </c>
      <c r="F545" s="91">
        <v>1</v>
      </c>
      <c r="G545" s="91" t="s">
        <v>74</v>
      </c>
      <c r="H545" s="92">
        <v>30</v>
      </c>
      <c r="I545" s="92">
        <v>0</v>
      </c>
      <c r="J545" s="92">
        <v>0</v>
      </c>
      <c r="K545" s="92">
        <v>27.75</v>
      </c>
      <c r="L545" s="92" t="s">
        <v>78</v>
      </c>
      <c r="M545" s="92" t="s">
        <v>82</v>
      </c>
      <c r="N545" s="92" t="s">
        <v>77</v>
      </c>
      <c r="O545" s="92" t="b">
        <v>1</v>
      </c>
      <c r="P545" s="92" t="s">
        <v>78</v>
      </c>
      <c r="Q545" s="92" t="s">
        <v>84</v>
      </c>
      <c r="R545" s="92" t="s">
        <v>80</v>
      </c>
      <c r="S545" s="92" t="b">
        <v>1</v>
      </c>
      <c r="T545" s="100">
        <v>0</v>
      </c>
      <c r="U545" s="100">
        <v>1.4827219770500106E+19</v>
      </c>
      <c r="V545" s="100"/>
    </row>
    <row r="546" spans="4:22" ht="15" customHeight="1">
      <c r="D546" s="98" t="b">
        <v>0</v>
      </c>
      <c r="E546" s="93">
        <v>1</v>
      </c>
      <c r="F546" s="91">
        <v>1</v>
      </c>
      <c r="G546" s="91" t="s">
        <v>74</v>
      </c>
      <c r="H546" s="92">
        <v>49</v>
      </c>
      <c r="I546" s="92">
        <v>1</v>
      </c>
      <c r="J546" s="92">
        <v>0</v>
      </c>
      <c r="K546" s="92">
        <v>89.104200000000006</v>
      </c>
      <c r="L546" s="92" t="s">
        <v>78</v>
      </c>
      <c r="M546" s="92" t="s">
        <v>82</v>
      </c>
      <c r="N546" s="92" t="s">
        <v>77</v>
      </c>
      <c r="O546" s="92" t="b">
        <v>1</v>
      </c>
      <c r="P546" s="92" t="s">
        <v>78</v>
      </c>
      <c r="Q546" s="92" t="s">
        <v>84</v>
      </c>
      <c r="R546" s="92" t="s">
        <v>85</v>
      </c>
      <c r="S546" s="92" t="b">
        <v>0</v>
      </c>
      <c r="T546" s="100">
        <v>0</v>
      </c>
      <c r="U546" s="100">
        <v>1.7319057211134708E+19</v>
      </c>
      <c r="V546" s="100"/>
    </row>
    <row r="547" spans="4:22" ht="15" customHeight="1">
      <c r="D547" s="98" t="b">
        <v>0</v>
      </c>
      <c r="E547" s="93">
        <v>0</v>
      </c>
      <c r="F547" s="91">
        <v>3</v>
      </c>
      <c r="G547" s="91" t="s">
        <v>74</v>
      </c>
      <c r="H547" s="92"/>
      <c r="I547" s="92">
        <v>0</v>
      </c>
      <c r="J547" s="92">
        <v>0</v>
      </c>
      <c r="K547" s="92">
        <v>8.0500000000000007</v>
      </c>
      <c r="L547" s="92" t="s">
        <v>75</v>
      </c>
      <c r="M547" s="92" t="s">
        <v>76</v>
      </c>
      <c r="N547" s="92" t="s">
        <v>77</v>
      </c>
      <c r="O547" s="92" t="b">
        <v>1</v>
      </c>
      <c r="P547" s="92"/>
      <c r="Q547" s="92" t="s">
        <v>79</v>
      </c>
      <c r="R547" s="92" t="s">
        <v>80</v>
      </c>
      <c r="S547" s="92" t="b">
        <v>1</v>
      </c>
      <c r="T547" s="100">
        <v>1</v>
      </c>
      <c r="U547" s="100">
        <v>1.036563458869572E+19</v>
      </c>
      <c r="V547" s="100"/>
    </row>
    <row r="548" spans="4:22" ht="15" customHeight="1">
      <c r="D548" s="98" t="b">
        <v>0</v>
      </c>
      <c r="E548" s="93">
        <v>1</v>
      </c>
      <c r="F548" s="91">
        <v>3</v>
      </c>
      <c r="G548" s="91" t="s">
        <v>74</v>
      </c>
      <c r="H548" s="92">
        <v>29</v>
      </c>
      <c r="I548" s="92">
        <v>0</v>
      </c>
      <c r="J548" s="92">
        <v>0</v>
      </c>
      <c r="K548" s="92">
        <v>7.8958000000000004</v>
      </c>
      <c r="L548" s="92" t="s">
        <v>78</v>
      </c>
      <c r="M548" s="92" t="s">
        <v>76</v>
      </c>
      <c r="N548" s="92" t="s">
        <v>77</v>
      </c>
      <c r="O548" s="92" t="b">
        <v>1</v>
      </c>
      <c r="P548" s="92"/>
      <c r="Q548" s="92" t="s">
        <v>84</v>
      </c>
      <c r="R548" s="92" t="s">
        <v>85</v>
      </c>
      <c r="S548" s="92" t="b">
        <v>1</v>
      </c>
      <c r="T548" s="100">
        <v>1</v>
      </c>
      <c r="U548" s="100">
        <v>9.9129024737857126E+18</v>
      </c>
      <c r="V548" s="100"/>
    </row>
    <row r="549" spans="4:22" ht="15" customHeight="1">
      <c r="D549" s="98" t="b">
        <v>0</v>
      </c>
      <c r="E549" s="93">
        <v>0</v>
      </c>
      <c r="F549" s="91">
        <v>1</v>
      </c>
      <c r="G549" s="91" t="s">
        <v>74</v>
      </c>
      <c r="H549" s="92">
        <v>65</v>
      </c>
      <c r="I549" s="92">
        <v>0</v>
      </c>
      <c r="J549" s="92">
        <v>0</v>
      </c>
      <c r="K549" s="92">
        <v>26.55</v>
      </c>
      <c r="L549" s="92" t="s">
        <v>75</v>
      </c>
      <c r="M549" s="92" t="s">
        <v>82</v>
      </c>
      <c r="N549" s="92" t="s">
        <v>77</v>
      </c>
      <c r="O549" s="92" t="b">
        <v>1</v>
      </c>
      <c r="P549" s="92" t="s">
        <v>88</v>
      </c>
      <c r="Q549" s="92" t="s">
        <v>79</v>
      </c>
      <c r="R549" s="92" t="s">
        <v>80</v>
      </c>
      <c r="S549" s="92" t="b">
        <v>1</v>
      </c>
      <c r="T549" s="100">
        <v>0</v>
      </c>
      <c r="U549" s="100">
        <v>1.0569097345748019E+19</v>
      </c>
      <c r="V549" s="100"/>
    </row>
    <row r="550" spans="4:22" ht="15" customHeight="1">
      <c r="D550" s="98" t="b">
        <v>0</v>
      </c>
      <c r="E550" s="93">
        <v>1</v>
      </c>
      <c r="F550" s="91">
        <v>1</v>
      </c>
      <c r="G550" s="91" t="s">
        <v>81</v>
      </c>
      <c r="H550" s="92"/>
      <c r="I550" s="92">
        <v>1</v>
      </c>
      <c r="J550" s="92">
        <v>0</v>
      </c>
      <c r="K550" s="92">
        <v>51.862499999999997</v>
      </c>
      <c r="L550" s="92" t="s">
        <v>75</v>
      </c>
      <c r="M550" s="92" t="s">
        <v>82</v>
      </c>
      <c r="N550" s="92" t="s">
        <v>83</v>
      </c>
      <c r="O550" s="92" t="b">
        <v>0</v>
      </c>
      <c r="P550" s="92" t="s">
        <v>92</v>
      </c>
      <c r="Q550" s="92" t="s">
        <v>79</v>
      </c>
      <c r="R550" s="92" t="s">
        <v>85</v>
      </c>
      <c r="S550" s="92" t="b">
        <v>0</v>
      </c>
      <c r="T550" s="100">
        <v>1</v>
      </c>
      <c r="U550" s="100">
        <v>1.1036461751325161E+19</v>
      </c>
      <c r="V550" s="100"/>
    </row>
    <row r="551" spans="4:22" ht="15" customHeight="1">
      <c r="D551" s="98" t="b">
        <v>0</v>
      </c>
      <c r="E551" s="93">
        <v>1</v>
      </c>
      <c r="F551" s="91">
        <v>2</v>
      </c>
      <c r="G551" s="91" t="s">
        <v>81</v>
      </c>
      <c r="H551" s="92">
        <v>50</v>
      </c>
      <c r="I551" s="92">
        <v>0</v>
      </c>
      <c r="J551" s="92">
        <v>0</v>
      </c>
      <c r="K551" s="92">
        <v>10.5</v>
      </c>
      <c r="L551" s="92" t="s">
        <v>75</v>
      </c>
      <c r="M551" s="92" t="s">
        <v>90</v>
      </c>
      <c r="N551" s="92" t="s">
        <v>83</v>
      </c>
      <c r="O551" s="92" t="b">
        <v>0</v>
      </c>
      <c r="P551" s="92"/>
      <c r="Q551" s="92" t="s">
        <v>79</v>
      </c>
      <c r="R551" s="92" t="s">
        <v>85</v>
      </c>
      <c r="S551" s="92" t="b">
        <v>1</v>
      </c>
      <c r="T551" s="100">
        <v>1</v>
      </c>
      <c r="U551" s="100">
        <v>1.4243851618328265E+19</v>
      </c>
      <c r="V551" s="100"/>
    </row>
    <row r="552" spans="4:22" ht="15" customHeight="1">
      <c r="D552" s="98" t="b">
        <v>0</v>
      </c>
      <c r="E552" s="93">
        <v>0</v>
      </c>
      <c r="F552" s="91">
        <v>3</v>
      </c>
      <c r="G552" s="91" t="s">
        <v>74</v>
      </c>
      <c r="H552" s="92"/>
      <c r="I552" s="92">
        <v>0</v>
      </c>
      <c r="J552" s="92">
        <v>0</v>
      </c>
      <c r="K552" s="92">
        <v>7.75</v>
      </c>
      <c r="L552" s="92" t="s">
        <v>86</v>
      </c>
      <c r="M552" s="92" t="s">
        <v>76</v>
      </c>
      <c r="N552" s="92" t="s">
        <v>77</v>
      </c>
      <c r="O552" s="92" t="b">
        <v>1</v>
      </c>
      <c r="P552" s="92"/>
      <c r="Q552" s="92" t="s">
        <v>87</v>
      </c>
      <c r="R552" s="92" t="s">
        <v>80</v>
      </c>
      <c r="S552" s="92" t="b">
        <v>1</v>
      </c>
      <c r="T552" s="100">
        <v>1</v>
      </c>
      <c r="U552" s="100">
        <v>1.8659124076202463E+18</v>
      </c>
      <c r="V552" s="100"/>
    </row>
    <row r="553" spans="4:22" ht="15" customHeight="1">
      <c r="D553" s="98" t="b">
        <v>0</v>
      </c>
      <c r="E553" s="93">
        <v>1</v>
      </c>
      <c r="F553" s="91">
        <v>1</v>
      </c>
      <c r="G553" s="91" t="s">
        <v>74</v>
      </c>
      <c r="H553" s="92">
        <v>48</v>
      </c>
      <c r="I553" s="92">
        <v>0</v>
      </c>
      <c r="J553" s="92">
        <v>0</v>
      </c>
      <c r="K553" s="92">
        <v>26.55</v>
      </c>
      <c r="L553" s="92" t="s">
        <v>75</v>
      </c>
      <c r="M553" s="92" t="s">
        <v>82</v>
      </c>
      <c r="N553" s="92" t="s">
        <v>77</v>
      </c>
      <c r="O553" s="92" t="b">
        <v>1</v>
      </c>
      <c r="P553" s="92" t="s">
        <v>88</v>
      </c>
      <c r="Q553" s="92" t="s">
        <v>79</v>
      </c>
      <c r="R553" s="92" t="s">
        <v>85</v>
      </c>
      <c r="S553" s="92" t="b">
        <v>1</v>
      </c>
      <c r="T553" s="100">
        <v>0</v>
      </c>
      <c r="U553" s="100">
        <v>9.0019891736275405E+18</v>
      </c>
      <c r="V553" s="100"/>
    </row>
    <row r="554" spans="4:22" ht="15" customHeight="1">
      <c r="D554" s="98" t="b">
        <v>0</v>
      </c>
      <c r="E554" s="93">
        <v>0</v>
      </c>
      <c r="F554" s="91">
        <v>3</v>
      </c>
      <c r="G554" s="91" t="s">
        <v>74</v>
      </c>
      <c r="H554" s="92">
        <v>34</v>
      </c>
      <c r="I554" s="92">
        <v>0</v>
      </c>
      <c r="J554" s="92">
        <v>0</v>
      </c>
      <c r="K554" s="92">
        <v>8.0500000000000007</v>
      </c>
      <c r="L554" s="92" t="s">
        <v>75</v>
      </c>
      <c r="M554" s="92" t="s">
        <v>76</v>
      </c>
      <c r="N554" s="92" t="s">
        <v>77</v>
      </c>
      <c r="O554" s="92" t="b">
        <v>1</v>
      </c>
      <c r="P554" s="92"/>
      <c r="Q554" s="92" t="s">
        <v>79</v>
      </c>
      <c r="R554" s="92" t="s">
        <v>80</v>
      </c>
      <c r="S554" s="92" t="b">
        <v>1</v>
      </c>
      <c r="T554" s="100">
        <v>1</v>
      </c>
      <c r="U554" s="100">
        <v>4.6771892198360608E+17</v>
      </c>
      <c r="V554" s="100"/>
    </row>
    <row r="555" spans="4:22" ht="15" customHeight="1">
      <c r="D555" s="98" t="b">
        <v>0</v>
      </c>
      <c r="E555" s="93">
        <v>0</v>
      </c>
      <c r="F555" s="91">
        <v>1</v>
      </c>
      <c r="G555" s="91" t="s">
        <v>74</v>
      </c>
      <c r="H555" s="92">
        <v>47</v>
      </c>
      <c r="I555" s="92">
        <v>0</v>
      </c>
      <c r="J555" s="92">
        <v>0</v>
      </c>
      <c r="K555" s="92">
        <v>38.5</v>
      </c>
      <c r="L555" s="92" t="s">
        <v>75</v>
      </c>
      <c r="M555" s="92" t="s">
        <v>82</v>
      </c>
      <c r="N555" s="92" t="s">
        <v>77</v>
      </c>
      <c r="O555" s="92" t="b">
        <v>1</v>
      </c>
      <c r="P555" s="92" t="s">
        <v>88</v>
      </c>
      <c r="Q555" s="92" t="s">
        <v>79</v>
      </c>
      <c r="R555" s="92" t="s">
        <v>80</v>
      </c>
      <c r="S555" s="92" t="b">
        <v>1</v>
      </c>
      <c r="T555" s="100">
        <v>0</v>
      </c>
      <c r="U555" s="100">
        <v>5.0296499569393889E+18</v>
      </c>
      <c r="V555" s="100"/>
    </row>
    <row r="556" spans="4:22" ht="15" customHeight="1">
      <c r="D556" s="98" t="b">
        <v>0</v>
      </c>
      <c r="E556" s="93">
        <v>0</v>
      </c>
      <c r="F556" s="91">
        <v>2</v>
      </c>
      <c r="G556" s="91" t="s">
        <v>74</v>
      </c>
      <c r="H556" s="92">
        <v>48</v>
      </c>
      <c r="I556" s="92">
        <v>0</v>
      </c>
      <c r="J556" s="92">
        <v>0</v>
      </c>
      <c r="K556" s="92">
        <v>13</v>
      </c>
      <c r="L556" s="92" t="s">
        <v>75</v>
      </c>
      <c r="M556" s="92" t="s">
        <v>90</v>
      </c>
      <c r="N556" s="92" t="s">
        <v>77</v>
      </c>
      <c r="O556" s="92" t="b">
        <v>1</v>
      </c>
      <c r="P556" s="92"/>
      <c r="Q556" s="92" t="s">
        <v>79</v>
      </c>
      <c r="R556" s="92" t="s">
        <v>80</v>
      </c>
      <c r="S556" s="92" t="b">
        <v>1</v>
      </c>
      <c r="T556" s="100">
        <v>1</v>
      </c>
      <c r="U556" s="100">
        <v>7.3370123185499638E+18</v>
      </c>
      <c r="V556" s="100"/>
    </row>
    <row r="557" spans="4:22" ht="15" customHeight="1">
      <c r="D557" s="98" t="b">
        <v>0</v>
      </c>
      <c r="E557" s="93">
        <v>0</v>
      </c>
      <c r="F557" s="91">
        <v>3</v>
      </c>
      <c r="G557" s="91" t="s">
        <v>74</v>
      </c>
      <c r="H557" s="92"/>
      <c r="I557" s="92">
        <v>0</v>
      </c>
      <c r="J557" s="92">
        <v>0</v>
      </c>
      <c r="K557" s="92">
        <v>8.0500000000000007</v>
      </c>
      <c r="L557" s="92" t="s">
        <v>75</v>
      </c>
      <c r="M557" s="92" t="s">
        <v>76</v>
      </c>
      <c r="N557" s="92" t="s">
        <v>77</v>
      </c>
      <c r="O557" s="92" t="b">
        <v>1</v>
      </c>
      <c r="P557" s="92"/>
      <c r="Q557" s="92" t="s">
        <v>79</v>
      </c>
      <c r="R557" s="92" t="s">
        <v>80</v>
      </c>
      <c r="S557" s="92" t="b">
        <v>1</v>
      </c>
      <c r="T557" s="100">
        <v>1</v>
      </c>
      <c r="U557" s="100">
        <v>1.036563458869572E+19</v>
      </c>
      <c r="V557" s="100"/>
    </row>
    <row r="558" spans="4:22" ht="15" customHeight="1">
      <c r="D558" s="98" t="b">
        <v>0</v>
      </c>
      <c r="E558" s="93">
        <v>0</v>
      </c>
      <c r="F558" s="91">
        <v>3</v>
      </c>
      <c r="G558" s="91" t="s">
        <v>74</v>
      </c>
      <c r="H558" s="92">
        <v>38</v>
      </c>
      <c r="I558" s="92">
        <v>0</v>
      </c>
      <c r="J558" s="92">
        <v>0</v>
      </c>
      <c r="K558" s="92">
        <v>7.05</v>
      </c>
      <c r="L558" s="92" t="s">
        <v>75</v>
      </c>
      <c r="M558" s="92" t="s">
        <v>76</v>
      </c>
      <c r="N558" s="92" t="s">
        <v>77</v>
      </c>
      <c r="O558" s="92" t="b">
        <v>1</v>
      </c>
      <c r="P558" s="92"/>
      <c r="Q558" s="92" t="s">
        <v>79</v>
      </c>
      <c r="R558" s="92" t="s">
        <v>80</v>
      </c>
      <c r="S558" s="92" t="b">
        <v>1</v>
      </c>
      <c r="T558" s="100">
        <v>1</v>
      </c>
      <c r="U558" s="100">
        <v>1.5367447673782284E+19</v>
      </c>
      <c r="V558" s="100"/>
    </row>
    <row r="559" spans="4:22" ht="15" customHeight="1">
      <c r="D559" s="98" t="b">
        <v>0</v>
      </c>
      <c r="E559" s="93">
        <v>0</v>
      </c>
      <c r="F559" s="91">
        <v>2</v>
      </c>
      <c r="G559" s="91" t="s">
        <v>74</v>
      </c>
      <c r="H559" s="92"/>
      <c r="I559" s="92">
        <v>0</v>
      </c>
      <c r="J559" s="92">
        <v>0</v>
      </c>
      <c r="K559" s="92">
        <v>0</v>
      </c>
      <c r="L559" s="92" t="s">
        <v>75</v>
      </c>
      <c r="M559" s="92" t="s">
        <v>90</v>
      </c>
      <c r="N559" s="92" t="s">
        <v>77</v>
      </c>
      <c r="O559" s="92" t="b">
        <v>1</v>
      </c>
      <c r="P559" s="92"/>
      <c r="Q559" s="92" t="s">
        <v>79</v>
      </c>
      <c r="R559" s="92" t="s">
        <v>80</v>
      </c>
      <c r="S559" s="92" t="b">
        <v>1</v>
      </c>
      <c r="T559" s="100">
        <v>1</v>
      </c>
      <c r="U559" s="100">
        <v>6.2556219612342832E+16</v>
      </c>
      <c r="V559" s="100"/>
    </row>
    <row r="560" spans="4:22" ht="15" customHeight="1">
      <c r="D560" s="98" t="b">
        <v>0</v>
      </c>
      <c r="E560" s="93">
        <v>0</v>
      </c>
      <c r="F560" s="91">
        <v>1</v>
      </c>
      <c r="G560" s="91" t="s">
        <v>74</v>
      </c>
      <c r="H560" s="92">
        <v>56</v>
      </c>
      <c r="I560" s="92">
        <v>0</v>
      </c>
      <c r="J560" s="92">
        <v>0</v>
      </c>
      <c r="K560" s="92">
        <v>26.55</v>
      </c>
      <c r="L560" s="92" t="s">
        <v>75</v>
      </c>
      <c r="M560" s="92" t="s">
        <v>82</v>
      </c>
      <c r="N560" s="92" t="s">
        <v>77</v>
      </c>
      <c r="O560" s="92" t="b">
        <v>1</v>
      </c>
      <c r="P560" s="92"/>
      <c r="Q560" s="92" t="s">
        <v>79</v>
      </c>
      <c r="R560" s="92" t="s">
        <v>80</v>
      </c>
      <c r="S560" s="92" t="b">
        <v>1</v>
      </c>
      <c r="T560" s="100">
        <v>1</v>
      </c>
      <c r="U560" s="100">
        <v>1.3237278366398945E+19</v>
      </c>
      <c r="V560" s="100"/>
    </row>
    <row r="561" spans="4:22" ht="15" customHeight="1">
      <c r="D561" s="98" t="b">
        <v>0</v>
      </c>
      <c r="E561" s="93">
        <v>0</v>
      </c>
      <c r="F561" s="91">
        <v>3</v>
      </c>
      <c r="G561" s="91" t="s">
        <v>74</v>
      </c>
      <c r="H561" s="92"/>
      <c r="I561" s="92">
        <v>0</v>
      </c>
      <c r="J561" s="92">
        <v>0</v>
      </c>
      <c r="K561" s="92">
        <v>7.7249999999999996</v>
      </c>
      <c r="L561" s="92" t="s">
        <v>86</v>
      </c>
      <c r="M561" s="92" t="s">
        <v>76</v>
      </c>
      <c r="N561" s="92" t="s">
        <v>77</v>
      </c>
      <c r="O561" s="92" t="b">
        <v>1</v>
      </c>
      <c r="P561" s="92"/>
      <c r="Q561" s="92" t="s">
        <v>87</v>
      </c>
      <c r="R561" s="92" t="s">
        <v>80</v>
      </c>
      <c r="S561" s="92" t="b">
        <v>1</v>
      </c>
      <c r="T561" s="100">
        <v>1</v>
      </c>
      <c r="U561" s="100">
        <v>1.746237506068333E+19</v>
      </c>
      <c r="V561" s="100"/>
    </row>
    <row r="562" spans="4:22" ht="15" customHeight="1">
      <c r="D562" s="98" t="b">
        <v>0</v>
      </c>
      <c r="E562" s="93">
        <v>0</v>
      </c>
      <c r="F562" s="91">
        <v>3</v>
      </c>
      <c r="G562" s="91" t="s">
        <v>74</v>
      </c>
      <c r="H562" s="92"/>
      <c r="I562" s="92">
        <v>0</v>
      </c>
      <c r="J562" s="92">
        <v>0</v>
      </c>
      <c r="K562" s="92">
        <v>7.25</v>
      </c>
      <c r="L562" s="92" t="s">
        <v>75</v>
      </c>
      <c r="M562" s="92" t="s">
        <v>76</v>
      </c>
      <c r="N562" s="92" t="s">
        <v>77</v>
      </c>
      <c r="O562" s="92" t="b">
        <v>1</v>
      </c>
      <c r="P562" s="92"/>
      <c r="Q562" s="92" t="s">
        <v>79</v>
      </c>
      <c r="R562" s="92" t="s">
        <v>80</v>
      </c>
      <c r="S562" s="92" t="b">
        <v>1</v>
      </c>
      <c r="T562" s="100">
        <v>1</v>
      </c>
      <c r="U562" s="100">
        <v>7.721722907412951E+18</v>
      </c>
      <c r="V562" s="100"/>
    </row>
    <row r="563" spans="4:22" ht="15" customHeight="1">
      <c r="D563" s="98" t="b">
        <v>0</v>
      </c>
      <c r="E563" s="93">
        <v>0</v>
      </c>
      <c r="F563" s="91">
        <v>3</v>
      </c>
      <c r="G563" s="91" t="s">
        <v>74</v>
      </c>
      <c r="H563" s="92">
        <v>38</v>
      </c>
      <c r="I563" s="92">
        <v>0</v>
      </c>
      <c r="J563" s="92">
        <v>0</v>
      </c>
      <c r="K563" s="92">
        <v>8.6624999999999996</v>
      </c>
      <c r="L563" s="92" t="s">
        <v>75</v>
      </c>
      <c r="M563" s="92" t="s">
        <v>76</v>
      </c>
      <c r="N563" s="92" t="s">
        <v>77</v>
      </c>
      <c r="O563" s="92" t="b">
        <v>1</v>
      </c>
      <c r="P563" s="92"/>
      <c r="Q563" s="92" t="s">
        <v>79</v>
      </c>
      <c r="R563" s="92" t="s">
        <v>80</v>
      </c>
      <c r="S563" s="92" t="b">
        <v>1</v>
      </c>
      <c r="T563" s="100">
        <v>1</v>
      </c>
      <c r="U563" s="100">
        <v>6.4035532308819456E+18</v>
      </c>
      <c r="V563" s="100"/>
    </row>
    <row r="564" spans="4:22" ht="15" customHeight="1">
      <c r="D564" s="98" t="b">
        <v>0</v>
      </c>
      <c r="E564" s="93">
        <v>1</v>
      </c>
      <c r="F564" s="91">
        <v>2</v>
      </c>
      <c r="G564" s="91" t="s">
        <v>81</v>
      </c>
      <c r="H564" s="92">
        <v>33</v>
      </c>
      <c r="I564" s="92">
        <v>1</v>
      </c>
      <c r="J564" s="92">
        <v>2</v>
      </c>
      <c r="K564" s="92">
        <v>27.75</v>
      </c>
      <c r="L564" s="92" t="s">
        <v>75</v>
      </c>
      <c r="M564" s="92" t="s">
        <v>90</v>
      </c>
      <c r="N564" s="92" t="s">
        <v>83</v>
      </c>
      <c r="O564" s="92" t="b">
        <v>0</v>
      </c>
      <c r="P564" s="92"/>
      <c r="Q564" s="92" t="s">
        <v>79</v>
      </c>
      <c r="R564" s="92" t="s">
        <v>85</v>
      </c>
      <c r="S564" s="92" t="b">
        <v>0</v>
      </c>
      <c r="T564" s="100">
        <v>1</v>
      </c>
      <c r="U564" s="100">
        <v>1.380497493279165E+19</v>
      </c>
      <c r="V564" s="100"/>
    </row>
    <row r="565" spans="4:22" ht="15" customHeight="1">
      <c r="D565" s="98" t="b">
        <v>0</v>
      </c>
      <c r="E565" s="93">
        <v>1</v>
      </c>
      <c r="F565" s="91">
        <v>2</v>
      </c>
      <c r="G565" s="91" t="s">
        <v>81</v>
      </c>
      <c r="H565" s="92">
        <v>23</v>
      </c>
      <c r="I565" s="92">
        <v>0</v>
      </c>
      <c r="J565" s="92">
        <v>0</v>
      </c>
      <c r="K565" s="92">
        <v>13.791700000000001</v>
      </c>
      <c r="L565" s="92" t="s">
        <v>78</v>
      </c>
      <c r="M565" s="92" t="s">
        <v>90</v>
      </c>
      <c r="N565" s="92" t="s">
        <v>83</v>
      </c>
      <c r="O565" s="92" t="b">
        <v>0</v>
      </c>
      <c r="P565" s="92" t="s">
        <v>92</v>
      </c>
      <c r="Q565" s="92" t="s">
        <v>84</v>
      </c>
      <c r="R565" s="92" t="s">
        <v>85</v>
      </c>
      <c r="S565" s="92" t="b">
        <v>1</v>
      </c>
      <c r="T565" s="100">
        <v>0</v>
      </c>
      <c r="U565" s="100">
        <v>8.7502907280034278E+17</v>
      </c>
      <c r="V565" s="100"/>
    </row>
    <row r="566" spans="4:22" ht="15" customHeight="1">
      <c r="D566" s="98" t="b">
        <v>0</v>
      </c>
      <c r="E566" s="93">
        <v>0</v>
      </c>
      <c r="F566" s="91">
        <v>3</v>
      </c>
      <c r="G566" s="91" t="s">
        <v>81</v>
      </c>
      <c r="H566" s="92">
        <v>22</v>
      </c>
      <c r="I566" s="92">
        <v>0</v>
      </c>
      <c r="J566" s="92">
        <v>0</v>
      </c>
      <c r="K566" s="92">
        <v>9.8375000000000004</v>
      </c>
      <c r="L566" s="92" t="s">
        <v>75</v>
      </c>
      <c r="M566" s="92" t="s">
        <v>76</v>
      </c>
      <c r="N566" s="92" t="s">
        <v>83</v>
      </c>
      <c r="O566" s="92" t="b">
        <v>0</v>
      </c>
      <c r="P566" s="92"/>
      <c r="Q566" s="92" t="s">
        <v>79</v>
      </c>
      <c r="R566" s="92" t="s">
        <v>80</v>
      </c>
      <c r="S566" s="92" t="b">
        <v>1</v>
      </c>
      <c r="T566" s="100">
        <v>1</v>
      </c>
      <c r="U566" s="100">
        <v>2.0646318066448612E+18</v>
      </c>
      <c r="V566" s="100"/>
    </row>
    <row r="567" spans="4:22" ht="15" customHeight="1">
      <c r="D567" s="98" t="b">
        <v>0</v>
      </c>
      <c r="E567" s="93">
        <v>0</v>
      </c>
      <c r="F567" s="91">
        <v>1</v>
      </c>
      <c r="G567" s="91" t="s">
        <v>74</v>
      </c>
      <c r="H567" s="92"/>
      <c r="I567" s="92">
        <v>0</v>
      </c>
      <c r="J567" s="92">
        <v>0</v>
      </c>
      <c r="K567" s="92">
        <v>52</v>
      </c>
      <c r="L567" s="92" t="s">
        <v>75</v>
      </c>
      <c r="M567" s="92" t="s">
        <v>82</v>
      </c>
      <c r="N567" s="92" t="s">
        <v>77</v>
      </c>
      <c r="O567" s="92" t="b">
        <v>1</v>
      </c>
      <c r="P567" s="92" t="s">
        <v>93</v>
      </c>
      <c r="Q567" s="92" t="s">
        <v>79</v>
      </c>
      <c r="R567" s="92" t="s">
        <v>80</v>
      </c>
      <c r="S567" s="92" t="b">
        <v>1</v>
      </c>
      <c r="T567" s="100">
        <v>1</v>
      </c>
      <c r="U567" s="100">
        <v>8.5124972973533706E+18</v>
      </c>
      <c r="V567" s="100"/>
    </row>
    <row r="568" spans="4:22" ht="15" customHeight="1">
      <c r="D568" s="98" t="b">
        <v>0</v>
      </c>
      <c r="E568" s="93">
        <v>0</v>
      </c>
      <c r="F568" s="91">
        <v>2</v>
      </c>
      <c r="G568" s="91" t="s">
        <v>74</v>
      </c>
      <c r="H568" s="92">
        <v>34</v>
      </c>
      <c r="I568" s="92">
        <v>1</v>
      </c>
      <c r="J568" s="92">
        <v>0</v>
      </c>
      <c r="K568" s="92">
        <v>21</v>
      </c>
      <c r="L568" s="92" t="s">
        <v>75</v>
      </c>
      <c r="M568" s="92" t="s">
        <v>90</v>
      </c>
      <c r="N568" s="92" t="s">
        <v>77</v>
      </c>
      <c r="O568" s="92" t="b">
        <v>1</v>
      </c>
      <c r="P568" s="92"/>
      <c r="Q568" s="92" t="s">
        <v>79</v>
      </c>
      <c r="R568" s="92" t="s">
        <v>80</v>
      </c>
      <c r="S568" s="92" t="b">
        <v>0</v>
      </c>
      <c r="T568" s="100">
        <v>1</v>
      </c>
      <c r="U568" s="100">
        <v>1.4315027719450681E+19</v>
      </c>
      <c r="V568" s="100"/>
    </row>
    <row r="569" spans="4:22" ht="15" customHeight="1">
      <c r="D569" s="98" t="b">
        <v>0</v>
      </c>
      <c r="E569" s="93">
        <v>0</v>
      </c>
      <c r="F569" s="91">
        <v>3</v>
      </c>
      <c r="G569" s="91" t="s">
        <v>74</v>
      </c>
      <c r="H569" s="92">
        <v>29</v>
      </c>
      <c r="I569" s="92">
        <v>1</v>
      </c>
      <c r="J569" s="92">
        <v>0</v>
      </c>
      <c r="K569" s="92">
        <v>7.0457999999999998</v>
      </c>
      <c r="L569" s="92" t="s">
        <v>75</v>
      </c>
      <c r="M569" s="92" t="s">
        <v>76</v>
      </c>
      <c r="N569" s="92" t="s">
        <v>77</v>
      </c>
      <c r="O569" s="92" t="b">
        <v>1</v>
      </c>
      <c r="P569" s="92"/>
      <c r="Q569" s="92" t="s">
        <v>79</v>
      </c>
      <c r="R569" s="92" t="s">
        <v>80</v>
      </c>
      <c r="S569" s="92" t="b">
        <v>0</v>
      </c>
      <c r="T569" s="100">
        <v>1</v>
      </c>
      <c r="U569" s="100">
        <v>2.2625490144365466E+17</v>
      </c>
      <c r="V569" s="100"/>
    </row>
    <row r="570" spans="4:22" ht="15" customHeight="1">
      <c r="D570" s="98" t="b">
        <v>0</v>
      </c>
      <c r="E570" s="93">
        <v>0</v>
      </c>
      <c r="F570" s="91">
        <v>3</v>
      </c>
      <c r="G570" s="91" t="s">
        <v>74</v>
      </c>
      <c r="H570" s="92">
        <v>22</v>
      </c>
      <c r="I570" s="92">
        <v>0</v>
      </c>
      <c r="J570" s="92">
        <v>0</v>
      </c>
      <c r="K570" s="92">
        <v>7.5208000000000004</v>
      </c>
      <c r="L570" s="92" t="s">
        <v>75</v>
      </c>
      <c r="M570" s="92" t="s">
        <v>76</v>
      </c>
      <c r="N570" s="92" t="s">
        <v>77</v>
      </c>
      <c r="O570" s="92" t="b">
        <v>1</v>
      </c>
      <c r="P570" s="92"/>
      <c r="Q570" s="92" t="s">
        <v>79</v>
      </c>
      <c r="R570" s="92" t="s">
        <v>80</v>
      </c>
      <c r="S570" s="92" t="b">
        <v>1</v>
      </c>
      <c r="T570" s="100">
        <v>1</v>
      </c>
      <c r="U570" s="100">
        <v>1.4981217244491465E+19</v>
      </c>
      <c r="V570" s="100"/>
    </row>
    <row r="571" spans="4:22" ht="15" customHeight="1">
      <c r="D571" s="98" t="b">
        <v>0</v>
      </c>
      <c r="E571" s="93">
        <v>1</v>
      </c>
      <c r="F571" s="91">
        <v>3</v>
      </c>
      <c r="G571" s="91" t="s">
        <v>81</v>
      </c>
      <c r="H571" s="92">
        <v>2</v>
      </c>
      <c r="I571" s="92">
        <v>0</v>
      </c>
      <c r="J571" s="92">
        <v>1</v>
      </c>
      <c r="K571" s="92">
        <v>12.2875</v>
      </c>
      <c r="L571" s="92" t="s">
        <v>75</v>
      </c>
      <c r="M571" s="92" t="s">
        <v>76</v>
      </c>
      <c r="N571" s="92" t="s">
        <v>89</v>
      </c>
      <c r="O571" s="92" t="b">
        <v>0</v>
      </c>
      <c r="P571" s="92"/>
      <c r="Q571" s="92" t="s">
        <v>79</v>
      </c>
      <c r="R571" s="92" t="s">
        <v>85</v>
      </c>
      <c r="S571" s="92" t="b">
        <v>0</v>
      </c>
      <c r="T571" s="100">
        <v>1</v>
      </c>
      <c r="U571" s="100">
        <v>7.6525872929274737E+18</v>
      </c>
      <c r="V571" s="100"/>
    </row>
    <row r="572" spans="4:22" ht="15" customHeight="1">
      <c r="D572" s="98" t="b">
        <v>0</v>
      </c>
      <c r="E572" s="93">
        <v>0</v>
      </c>
      <c r="F572" s="91">
        <v>3</v>
      </c>
      <c r="G572" s="91" t="s">
        <v>74</v>
      </c>
      <c r="H572" s="92">
        <v>9</v>
      </c>
      <c r="I572" s="92">
        <v>5</v>
      </c>
      <c r="J572" s="92">
        <v>2</v>
      </c>
      <c r="K572" s="92">
        <v>46.9</v>
      </c>
      <c r="L572" s="92" t="s">
        <v>75</v>
      </c>
      <c r="M572" s="92" t="s">
        <v>76</v>
      </c>
      <c r="N572" s="92" t="s">
        <v>89</v>
      </c>
      <c r="O572" s="92" t="b">
        <v>0</v>
      </c>
      <c r="P572" s="92"/>
      <c r="Q572" s="92" t="s">
        <v>79</v>
      </c>
      <c r="R572" s="92" t="s">
        <v>80</v>
      </c>
      <c r="S572" s="92" t="b">
        <v>0</v>
      </c>
      <c r="T572" s="100">
        <v>1</v>
      </c>
      <c r="U572" s="100">
        <v>1.7898138765122195E+19</v>
      </c>
      <c r="V572" s="100"/>
    </row>
    <row r="573" spans="4:22" ht="15" customHeight="1">
      <c r="D573" s="98" t="b">
        <v>0</v>
      </c>
      <c r="E573" s="93">
        <v>0</v>
      </c>
      <c r="F573" s="91">
        <v>2</v>
      </c>
      <c r="G573" s="91" t="s">
        <v>74</v>
      </c>
      <c r="H573" s="92"/>
      <c r="I573" s="92">
        <v>0</v>
      </c>
      <c r="J573" s="92">
        <v>0</v>
      </c>
      <c r="K573" s="92">
        <v>0</v>
      </c>
      <c r="L573" s="92" t="s">
        <v>75</v>
      </c>
      <c r="M573" s="92" t="s">
        <v>90</v>
      </c>
      <c r="N573" s="92" t="s">
        <v>77</v>
      </c>
      <c r="O573" s="92" t="b">
        <v>1</v>
      </c>
      <c r="P573" s="92"/>
      <c r="Q573" s="92" t="s">
        <v>79</v>
      </c>
      <c r="R573" s="92" t="s">
        <v>80</v>
      </c>
      <c r="S573" s="92" t="b">
        <v>1</v>
      </c>
      <c r="T573" s="100">
        <v>1</v>
      </c>
      <c r="U573" s="100">
        <v>6.2556219612342832E+16</v>
      </c>
      <c r="V573" s="100"/>
    </row>
    <row r="574" spans="4:22" ht="15" customHeight="1">
      <c r="D574" s="98" t="b">
        <v>0</v>
      </c>
      <c r="E574" s="93">
        <v>0</v>
      </c>
      <c r="F574" s="91">
        <v>3</v>
      </c>
      <c r="G574" s="91" t="s">
        <v>74</v>
      </c>
      <c r="H574" s="92">
        <v>50</v>
      </c>
      <c r="I574" s="92">
        <v>0</v>
      </c>
      <c r="J574" s="92">
        <v>0</v>
      </c>
      <c r="K574" s="92">
        <v>8.0500000000000007</v>
      </c>
      <c r="L574" s="92" t="s">
        <v>75</v>
      </c>
      <c r="M574" s="92" t="s">
        <v>76</v>
      </c>
      <c r="N574" s="92" t="s">
        <v>77</v>
      </c>
      <c r="O574" s="92" t="b">
        <v>1</v>
      </c>
      <c r="P574" s="92"/>
      <c r="Q574" s="92" t="s">
        <v>79</v>
      </c>
      <c r="R574" s="92" t="s">
        <v>80</v>
      </c>
      <c r="S574" s="92" t="b">
        <v>1</v>
      </c>
      <c r="T574" s="100">
        <v>1</v>
      </c>
      <c r="U574" s="100">
        <v>4.7906634007818056E+18</v>
      </c>
      <c r="V574" s="100"/>
    </row>
    <row r="575" spans="4:22" ht="15" customHeight="1">
      <c r="D575" s="98" t="b">
        <v>0</v>
      </c>
      <c r="E575" s="93">
        <v>1</v>
      </c>
      <c r="F575" s="91">
        <v>3</v>
      </c>
      <c r="G575" s="91" t="s">
        <v>81</v>
      </c>
      <c r="H575" s="92">
        <v>63</v>
      </c>
      <c r="I575" s="92">
        <v>0</v>
      </c>
      <c r="J575" s="92">
        <v>0</v>
      </c>
      <c r="K575" s="92">
        <v>9.5875000000000004</v>
      </c>
      <c r="L575" s="92" t="s">
        <v>75</v>
      </c>
      <c r="M575" s="92" t="s">
        <v>76</v>
      </c>
      <c r="N575" s="92" t="s">
        <v>83</v>
      </c>
      <c r="O575" s="92" t="b">
        <v>0</v>
      </c>
      <c r="P575" s="92"/>
      <c r="Q575" s="92" t="s">
        <v>79</v>
      </c>
      <c r="R575" s="92" t="s">
        <v>85</v>
      </c>
      <c r="S575" s="92" t="b">
        <v>1</v>
      </c>
      <c r="T575" s="100">
        <v>1</v>
      </c>
      <c r="U575" s="100">
        <v>1.360778899581749E+18</v>
      </c>
      <c r="V575" s="100"/>
    </row>
    <row r="576" spans="4:22" ht="15" customHeight="1">
      <c r="D576" s="98" t="b">
        <v>0</v>
      </c>
      <c r="E576" s="93">
        <v>1</v>
      </c>
      <c r="F576" s="91">
        <v>1</v>
      </c>
      <c r="G576" s="91" t="s">
        <v>74</v>
      </c>
      <c r="H576" s="92">
        <v>25</v>
      </c>
      <c r="I576" s="92">
        <v>1</v>
      </c>
      <c r="J576" s="92">
        <v>0</v>
      </c>
      <c r="K576" s="92">
        <v>91.0792</v>
      </c>
      <c r="L576" s="92" t="s">
        <v>78</v>
      </c>
      <c r="M576" s="92" t="s">
        <v>82</v>
      </c>
      <c r="N576" s="92" t="s">
        <v>77</v>
      </c>
      <c r="O576" s="92" t="b">
        <v>1</v>
      </c>
      <c r="P576" s="92" t="s">
        <v>94</v>
      </c>
      <c r="Q576" s="92" t="s">
        <v>84</v>
      </c>
      <c r="R576" s="92" t="s">
        <v>85</v>
      </c>
      <c r="S576" s="92" t="b">
        <v>0</v>
      </c>
      <c r="T576" s="100">
        <v>0</v>
      </c>
      <c r="U576" s="100">
        <v>4.7528563758029435E+18</v>
      </c>
      <c r="V576" s="100"/>
    </row>
    <row r="577" spans="4:22" ht="15" customHeight="1">
      <c r="D577" s="98" t="b">
        <v>0</v>
      </c>
      <c r="E577" s="93">
        <v>0</v>
      </c>
      <c r="F577" s="91">
        <v>3</v>
      </c>
      <c r="G577" s="91" t="s">
        <v>81</v>
      </c>
      <c r="H577" s="92"/>
      <c r="I577" s="92">
        <v>3</v>
      </c>
      <c r="J577" s="92">
        <v>1</v>
      </c>
      <c r="K577" s="92">
        <v>25.466699999999999</v>
      </c>
      <c r="L577" s="92" t="s">
        <v>75</v>
      </c>
      <c r="M577" s="92" t="s">
        <v>76</v>
      </c>
      <c r="N577" s="92" t="s">
        <v>83</v>
      </c>
      <c r="O577" s="92" t="b">
        <v>0</v>
      </c>
      <c r="P577" s="92"/>
      <c r="Q577" s="92" t="s">
        <v>79</v>
      </c>
      <c r="R577" s="92" t="s">
        <v>80</v>
      </c>
      <c r="S577" s="92" t="b">
        <v>0</v>
      </c>
      <c r="T577" s="100">
        <v>1</v>
      </c>
      <c r="U577" s="100">
        <v>2.629625602031401E+18</v>
      </c>
      <c r="V577" s="100"/>
    </row>
    <row r="578" spans="4:22" ht="15" customHeight="1">
      <c r="D578" s="98" t="b">
        <v>0</v>
      </c>
      <c r="E578" s="93">
        <v>1</v>
      </c>
      <c r="F578" s="91">
        <v>1</v>
      </c>
      <c r="G578" s="91" t="s">
        <v>81</v>
      </c>
      <c r="H578" s="92">
        <v>35</v>
      </c>
      <c r="I578" s="92">
        <v>1</v>
      </c>
      <c r="J578" s="92">
        <v>0</v>
      </c>
      <c r="K578" s="92">
        <v>90</v>
      </c>
      <c r="L578" s="92" t="s">
        <v>75</v>
      </c>
      <c r="M578" s="92" t="s">
        <v>82</v>
      </c>
      <c r="N578" s="92" t="s">
        <v>83</v>
      </c>
      <c r="O578" s="92" t="b">
        <v>0</v>
      </c>
      <c r="P578" s="92" t="s">
        <v>78</v>
      </c>
      <c r="Q578" s="92" t="s">
        <v>79</v>
      </c>
      <c r="R578" s="92" t="s">
        <v>85</v>
      </c>
      <c r="S578" s="92" t="b">
        <v>0</v>
      </c>
      <c r="T578" s="100">
        <v>0</v>
      </c>
      <c r="U578" s="100">
        <v>2.7253314455826084E+18</v>
      </c>
      <c r="V578" s="100"/>
    </row>
    <row r="579" spans="4:22" ht="15" customHeight="1">
      <c r="D579" s="98" t="b">
        <v>0</v>
      </c>
      <c r="E579" s="93">
        <v>0</v>
      </c>
      <c r="F579" s="91">
        <v>1</v>
      </c>
      <c r="G579" s="91" t="s">
        <v>74</v>
      </c>
      <c r="H579" s="92">
        <v>58</v>
      </c>
      <c r="I579" s="92">
        <v>0</v>
      </c>
      <c r="J579" s="92">
        <v>0</v>
      </c>
      <c r="K579" s="92">
        <v>29.7</v>
      </c>
      <c r="L579" s="92" t="s">
        <v>78</v>
      </c>
      <c r="M579" s="92" t="s">
        <v>82</v>
      </c>
      <c r="N579" s="92" t="s">
        <v>77</v>
      </c>
      <c r="O579" s="92" t="b">
        <v>1</v>
      </c>
      <c r="P579" s="92" t="s">
        <v>94</v>
      </c>
      <c r="Q579" s="92" t="s">
        <v>84</v>
      </c>
      <c r="R579" s="92" t="s">
        <v>80</v>
      </c>
      <c r="S579" s="92" t="b">
        <v>1</v>
      </c>
      <c r="T579" s="100">
        <v>0</v>
      </c>
      <c r="U579" s="100">
        <v>2.3457907383902669E+17</v>
      </c>
      <c r="V579" s="100"/>
    </row>
    <row r="580" spans="4:22" ht="15" customHeight="1">
      <c r="D580" s="98" t="b">
        <v>0</v>
      </c>
      <c r="E580" s="93">
        <v>0</v>
      </c>
      <c r="F580" s="91">
        <v>3</v>
      </c>
      <c r="G580" s="91" t="s">
        <v>74</v>
      </c>
      <c r="H580" s="92">
        <v>30</v>
      </c>
      <c r="I580" s="92">
        <v>0</v>
      </c>
      <c r="J580" s="92">
        <v>0</v>
      </c>
      <c r="K580" s="92">
        <v>8.0500000000000007</v>
      </c>
      <c r="L580" s="92" t="s">
        <v>75</v>
      </c>
      <c r="M580" s="92" t="s">
        <v>76</v>
      </c>
      <c r="N580" s="92" t="s">
        <v>77</v>
      </c>
      <c r="O580" s="92" t="b">
        <v>1</v>
      </c>
      <c r="P580" s="92"/>
      <c r="Q580" s="92" t="s">
        <v>79</v>
      </c>
      <c r="R580" s="92" t="s">
        <v>80</v>
      </c>
      <c r="S580" s="92" t="b">
        <v>1</v>
      </c>
      <c r="T580" s="100">
        <v>1</v>
      </c>
      <c r="U580" s="100">
        <v>1.2242102453402954E+19</v>
      </c>
      <c r="V580" s="100"/>
    </row>
    <row r="581" spans="4:22" ht="15" customHeight="1">
      <c r="D581" s="98" t="b">
        <v>0</v>
      </c>
      <c r="E581" s="93">
        <v>1</v>
      </c>
      <c r="F581" s="91">
        <v>3</v>
      </c>
      <c r="G581" s="91" t="s">
        <v>74</v>
      </c>
      <c r="H581" s="92">
        <v>9</v>
      </c>
      <c r="I581" s="92">
        <v>1</v>
      </c>
      <c r="J581" s="92">
        <v>1</v>
      </c>
      <c r="K581" s="92">
        <v>15.9</v>
      </c>
      <c r="L581" s="92" t="s">
        <v>75</v>
      </c>
      <c r="M581" s="92" t="s">
        <v>76</v>
      </c>
      <c r="N581" s="92" t="s">
        <v>89</v>
      </c>
      <c r="O581" s="92" t="b">
        <v>0</v>
      </c>
      <c r="P581" s="92"/>
      <c r="Q581" s="92" t="s">
        <v>79</v>
      </c>
      <c r="R581" s="92" t="s">
        <v>85</v>
      </c>
      <c r="S581" s="92" t="b">
        <v>0</v>
      </c>
      <c r="T581" s="100">
        <v>1</v>
      </c>
      <c r="U581" s="100">
        <v>1.6378639527101772E+19</v>
      </c>
      <c r="V581" s="100"/>
    </row>
    <row r="582" spans="4:22" ht="15" customHeight="1">
      <c r="D582" s="98" t="b">
        <v>0</v>
      </c>
      <c r="E582" s="93">
        <v>0</v>
      </c>
      <c r="F582" s="91">
        <v>3</v>
      </c>
      <c r="G582" s="91" t="s">
        <v>74</v>
      </c>
      <c r="H582" s="92"/>
      <c r="I582" s="92">
        <v>1</v>
      </c>
      <c r="J582" s="92">
        <v>0</v>
      </c>
      <c r="K582" s="92">
        <v>19.966699999999999</v>
      </c>
      <c r="L582" s="92" t="s">
        <v>75</v>
      </c>
      <c r="M582" s="92" t="s">
        <v>76</v>
      </c>
      <c r="N582" s="92" t="s">
        <v>77</v>
      </c>
      <c r="O582" s="92" t="b">
        <v>1</v>
      </c>
      <c r="P582" s="92"/>
      <c r="Q582" s="92" t="s">
        <v>79</v>
      </c>
      <c r="R582" s="92" t="s">
        <v>80</v>
      </c>
      <c r="S582" s="92" t="b">
        <v>0</v>
      </c>
      <c r="T582" s="100">
        <v>1</v>
      </c>
      <c r="U582" s="100">
        <v>1.7577348956310168E+19</v>
      </c>
      <c r="V582" s="100"/>
    </row>
    <row r="583" spans="4:22" ht="15" customHeight="1">
      <c r="D583" s="98" t="b">
        <v>0</v>
      </c>
      <c r="E583" s="93">
        <v>0</v>
      </c>
      <c r="F583" s="91">
        <v>3</v>
      </c>
      <c r="G583" s="91" t="s">
        <v>74</v>
      </c>
      <c r="H583" s="92">
        <v>21</v>
      </c>
      <c r="I583" s="92">
        <v>0</v>
      </c>
      <c r="J583" s="92">
        <v>0</v>
      </c>
      <c r="K583" s="92">
        <v>7.25</v>
      </c>
      <c r="L583" s="92" t="s">
        <v>75</v>
      </c>
      <c r="M583" s="92" t="s">
        <v>76</v>
      </c>
      <c r="N583" s="92" t="s">
        <v>77</v>
      </c>
      <c r="O583" s="92" t="b">
        <v>1</v>
      </c>
      <c r="P583" s="92"/>
      <c r="Q583" s="92" t="s">
        <v>79</v>
      </c>
      <c r="R583" s="92" t="s">
        <v>80</v>
      </c>
      <c r="S583" s="92" t="b">
        <v>1</v>
      </c>
      <c r="T583" s="100">
        <v>1</v>
      </c>
      <c r="U583" s="100">
        <v>1.6601937098500372E+19</v>
      </c>
      <c r="V583" s="100"/>
    </row>
    <row r="584" spans="4:22" ht="15" customHeight="1">
      <c r="D584" s="98" t="b">
        <v>0</v>
      </c>
      <c r="E584" s="93">
        <v>0</v>
      </c>
      <c r="F584" s="91">
        <v>1</v>
      </c>
      <c r="G584" s="91" t="s">
        <v>74</v>
      </c>
      <c r="H584" s="92">
        <v>55</v>
      </c>
      <c r="I584" s="92">
        <v>0</v>
      </c>
      <c r="J584" s="92">
        <v>0</v>
      </c>
      <c r="K584" s="92">
        <v>30.5</v>
      </c>
      <c r="L584" s="92" t="s">
        <v>75</v>
      </c>
      <c r="M584" s="92" t="s">
        <v>82</v>
      </c>
      <c r="N584" s="92" t="s">
        <v>77</v>
      </c>
      <c r="O584" s="92" t="b">
        <v>1</v>
      </c>
      <c r="P584" s="92" t="s">
        <v>78</v>
      </c>
      <c r="Q584" s="92" t="s">
        <v>79</v>
      </c>
      <c r="R584" s="92" t="s">
        <v>80</v>
      </c>
      <c r="S584" s="92" t="b">
        <v>1</v>
      </c>
      <c r="T584" s="100">
        <v>0</v>
      </c>
      <c r="U584" s="100">
        <v>9.4708419521561846E+18</v>
      </c>
      <c r="V584" s="100"/>
    </row>
    <row r="585" spans="4:22" ht="15" customHeight="1">
      <c r="D585" s="98" t="b">
        <v>0</v>
      </c>
      <c r="E585" s="93">
        <v>0</v>
      </c>
      <c r="F585" s="91">
        <v>1</v>
      </c>
      <c r="G585" s="91" t="s">
        <v>74</v>
      </c>
      <c r="H585" s="92">
        <v>71</v>
      </c>
      <c r="I585" s="92">
        <v>0</v>
      </c>
      <c r="J585" s="92">
        <v>0</v>
      </c>
      <c r="K585" s="92">
        <v>49.504199999999997</v>
      </c>
      <c r="L585" s="92" t="s">
        <v>78</v>
      </c>
      <c r="M585" s="92" t="s">
        <v>82</v>
      </c>
      <c r="N585" s="92" t="s">
        <v>77</v>
      </c>
      <c r="O585" s="92" t="b">
        <v>1</v>
      </c>
      <c r="P585" s="92"/>
      <c r="Q585" s="92" t="s">
        <v>84</v>
      </c>
      <c r="R585" s="92" t="s">
        <v>80</v>
      </c>
      <c r="S585" s="92" t="b">
        <v>1</v>
      </c>
      <c r="T585" s="100">
        <v>1</v>
      </c>
      <c r="U585" s="100">
        <v>5.5342469414290647E+18</v>
      </c>
      <c r="V585" s="100"/>
    </row>
    <row r="586" spans="4:22" ht="15" customHeight="1">
      <c r="D586" s="98" t="b">
        <v>0</v>
      </c>
      <c r="E586" s="93">
        <v>0</v>
      </c>
      <c r="F586" s="91">
        <v>3</v>
      </c>
      <c r="G586" s="91" t="s">
        <v>74</v>
      </c>
      <c r="H586" s="92">
        <v>21</v>
      </c>
      <c r="I586" s="92">
        <v>0</v>
      </c>
      <c r="J586" s="92">
        <v>0</v>
      </c>
      <c r="K586" s="92">
        <v>8.0500000000000007</v>
      </c>
      <c r="L586" s="92" t="s">
        <v>75</v>
      </c>
      <c r="M586" s="92" t="s">
        <v>76</v>
      </c>
      <c r="N586" s="92" t="s">
        <v>77</v>
      </c>
      <c r="O586" s="92" t="b">
        <v>1</v>
      </c>
      <c r="P586" s="92"/>
      <c r="Q586" s="92" t="s">
        <v>79</v>
      </c>
      <c r="R586" s="92" t="s">
        <v>80</v>
      </c>
      <c r="S586" s="92" t="b">
        <v>1</v>
      </c>
      <c r="T586" s="100">
        <v>1</v>
      </c>
      <c r="U586" s="100">
        <v>1.7818435785380915E+19</v>
      </c>
      <c r="V586" s="100"/>
    </row>
    <row r="587" spans="4:22" ht="15" customHeight="1">
      <c r="D587" s="98" t="b">
        <v>0</v>
      </c>
      <c r="E587" s="93">
        <v>0</v>
      </c>
      <c r="F587" s="91">
        <v>3</v>
      </c>
      <c r="G587" s="91" t="s">
        <v>74</v>
      </c>
      <c r="H587" s="92"/>
      <c r="I587" s="92">
        <v>0</v>
      </c>
      <c r="J587" s="92">
        <v>0</v>
      </c>
      <c r="K587" s="92">
        <v>14.458299999999999</v>
      </c>
      <c r="L587" s="92" t="s">
        <v>78</v>
      </c>
      <c r="M587" s="92" t="s">
        <v>76</v>
      </c>
      <c r="N587" s="92" t="s">
        <v>77</v>
      </c>
      <c r="O587" s="92" t="b">
        <v>1</v>
      </c>
      <c r="P587" s="92"/>
      <c r="Q587" s="92" t="s">
        <v>84</v>
      </c>
      <c r="R587" s="92" t="s">
        <v>80</v>
      </c>
      <c r="S587" s="92" t="b">
        <v>1</v>
      </c>
      <c r="T587" s="100">
        <v>1</v>
      </c>
      <c r="U587" s="100">
        <v>1.3899580278466566E+19</v>
      </c>
      <c r="V587" s="100"/>
    </row>
    <row r="588" spans="4:22" ht="15" customHeight="1">
      <c r="D588" s="98" t="b">
        <v>0</v>
      </c>
      <c r="E588" s="93">
        <v>1</v>
      </c>
      <c r="F588" s="91">
        <v>1</v>
      </c>
      <c r="G588" s="91" t="s">
        <v>81</v>
      </c>
      <c r="H588" s="92">
        <v>54</v>
      </c>
      <c r="I588" s="92">
        <v>1</v>
      </c>
      <c r="J588" s="92">
        <v>0</v>
      </c>
      <c r="K588" s="92">
        <v>78.2667</v>
      </c>
      <c r="L588" s="92" t="s">
        <v>78</v>
      </c>
      <c r="M588" s="92" t="s">
        <v>82</v>
      </c>
      <c r="N588" s="92" t="s">
        <v>83</v>
      </c>
      <c r="O588" s="92" t="b">
        <v>0</v>
      </c>
      <c r="P588" s="92" t="s">
        <v>92</v>
      </c>
      <c r="Q588" s="92" t="s">
        <v>84</v>
      </c>
      <c r="R588" s="92" t="s">
        <v>85</v>
      </c>
      <c r="S588" s="92" t="b">
        <v>0</v>
      </c>
      <c r="T588" s="100">
        <v>0</v>
      </c>
      <c r="U588" s="100">
        <v>1.0872343103389383E+19</v>
      </c>
      <c r="V588" s="100"/>
    </row>
    <row r="589" spans="4:22" ht="15" customHeight="1">
      <c r="D589" s="98" t="b">
        <v>0</v>
      </c>
      <c r="E589" s="93">
        <v>0</v>
      </c>
      <c r="F589" s="91">
        <v>3</v>
      </c>
      <c r="G589" s="91" t="s">
        <v>74</v>
      </c>
      <c r="H589" s="92"/>
      <c r="I589" s="92">
        <v>0</v>
      </c>
      <c r="J589" s="92">
        <v>0</v>
      </c>
      <c r="K589" s="92">
        <v>15.1</v>
      </c>
      <c r="L589" s="92" t="s">
        <v>75</v>
      </c>
      <c r="M589" s="92" t="s">
        <v>76</v>
      </c>
      <c r="N589" s="92" t="s">
        <v>77</v>
      </c>
      <c r="O589" s="92" t="b">
        <v>1</v>
      </c>
      <c r="P589" s="92"/>
      <c r="Q589" s="92" t="s">
        <v>79</v>
      </c>
      <c r="R589" s="92" t="s">
        <v>80</v>
      </c>
      <c r="S589" s="92" t="b">
        <v>1</v>
      </c>
      <c r="T589" s="100">
        <v>1</v>
      </c>
      <c r="U589" s="100">
        <v>8.0659928832265953E+18</v>
      </c>
      <c r="V589" s="100"/>
    </row>
    <row r="590" spans="4:22" ht="15" customHeight="1">
      <c r="D590" s="98" t="b">
        <v>0</v>
      </c>
      <c r="E590" s="93">
        <v>0</v>
      </c>
      <c r="F590" s="91">
        <v>1</v>
      </c>
      <c r="G590" s="91" t="s">
        <v>81</v>
      </c>
      <c r="H590" s="92">
        <v>25</v>
      </c>
      <c r="I590" s="92">
        <v>1</v>
      </c>
      <c r="J590" s="92">
        <v>2</v>
      </c>
      <c r="K590" s="92">
        <v>151.55000000000001</v>
      </c>
      <c r="L590" s="92" t="s">
        <v>75</v>
      </c>
      <c r="M590" s="92" t="s">
        <v>82</v>
      </c>
      <c r="N590" s="92" t="s">
        <v>83</v>
      </c>
      <c r="O590" s="92" t="b">
        <v>0</v>
      </c>
      <c r="P590" s="92" t="s">
        <v>78</v>
      </c>
      <c r="Q590" s="92" t="s">
        <v>79</v>
      </c>
      <c r="R590" s="92" t="s">
        <v>80</v>
      </c>
      <c r="S590" s="92" t="b">
        <v>0</v>
      </c>
      <c r="T590" s="100">
        <v>0</v>
      </c>
      <c r="U590" s="100">
        <v>1.6552502844996082E+19</v>
      </c>
      <c r="V590" s="100"/>
    </row>
    <row r="591" spans="4:22" ht="15" customHeight="1">
      <c r="D591" s="98" t="b">
        <v>0</v>
      </c>
      <c r="E591" s="93">
        <v>0</v>
      </c>
      <c r="F591" s="91">
        <v>3</v>
      </c>
      <c r="G591" s="91" t="s">
        <v>74</v>
      </c>
      <c r="H591" s="92">
        <v>24</v>
      </c>
      <c r="I591" s="92">
        <v>0</v>
      </c>
      <c r="J591" s="92">
        <v>0</v>
      </c>
      <c r="K591" s="92">
        <v>7.7957999999999998</v>
      </c>
      <c r="L591" s="92" t="s">
        <v>75</v>
      </c>
      <c r="M591" s="92" t="s">
        <v>76</v>
      </c>
      <c r="N591" s="92" t="s">
        <v>77</v>
      </c>
      <c r="O591" s="92" t="b">
        <v>1</v>
      </c>
      <c r="P591" s="92"/>
      <c r="Q591" s="92" t="s">
        <v>79</v>
      </c>
      <c r="R591" s="92" t="s">
        <v>80</v>
      </c>
      <c r="S591" s="92" t="b">
        <v>1</v>
      </c>
      <c r="T591" s="100">
        <v>1</v>
      </c>
      <c r="U591" s="100">
        <v>5.974023367987627E+18</v>
      </c>
      <c r="V591" s="100"/>
    </row>
    <row r="592" spans="4:22" ht="15" customHeight="1">
      <c r="D592" s="98" t="b">
        <v>0</v>
      </c>
      <c r="E592" s="93">
        <v>0</v>
      </c>
      <c r="F592" s="91">
        <v>3</v>
      </c>
      <c r="G592" s="91" t="s">
        <v>74</v>
      </c>
      <c r="H592" s="92">
        <v>17</v>
      </c>
      <c r="I592" s="92">
        <v>0</v>
      </c>
      <c r="J592" s="92">
        <v>0</v>
      </c>
      <c r="K592" s="92">
        <v>8.6624999999999996</v>
      </c>
      <c r="L592" s="92" t="s">
        <v>75</v>
      </c>
      <c r="M592" s="92" t="s">
        <v>76</v>
      </c>
      <c r="N592" s="92" t="s">
        <v>77</v>
      </c>
      <c r="O592" s="92" t="b">
        <v>1</v>
      </c>
      <c r="P592" s="92"/>
      <c r="Q592" s="92" t="s">
        <v>79</v>
      </c>
      <c r="R592" s="92" t="s">
        <v>80</v>
      </c>
      <c r="S592" s="92" t="b">
        <v>1</v>
      </c>
      <c r="T592" s="100">
        <v>1</v>
      </c>
      <c r="U592" s="100">
        <v>3.5012485002319247E+18</v>
      </c>
      <c r="V592" s="100"/>
    </row>
    <row r="593" spans="4:22" ht="15" customHeight="1">
      <c r="D593" s="98" t="b">
        <v>0</v>
      </c>
      <c r="E593" s="93">
        <v>0</v>
      </c>
      <c r="F593" s="91">
        <v>3</v>
      </c>
      <c r="G593" s="91" t="s">
        <v>81</v>
      </c>
      <c r="H593" s="92">
        <v>21</v>
      </c>
      <c r="I593" s="92">
        <v>0</v>
      </c>
      <c r="J593" s="92">
        <v>0</v>
      </c>
      <c r="K593" s="92">
        <v>7.75</v>
      </c>
      <c r="L593" s="92" t="s">
        <v>86</v>
      </c>
      <c r="M593" s="92" t="s">
        <v>76</v>
      </c>
      <c r="N593" s="92" t="s">
        <v>83</v>
      </c>
      <c r="O593" s="92" t="b">
        <v>0</v>
      </c>
      <c r="P593" s="92"/>
      <c r="Q593" s="92" t="s">
        <v>87</v>
      </c>
      <c r="R593" s="92" t="s">
        <v>80</v>
      </c>
      <c r="S593" s="92" t="b">
        <v>1</v>
      </c>
      <c r="T593" s="100">
        <v>1</v>
      </c>
      <c r="U593" s="100">
        <v>9.4312947395331461E+18</v>
      </c>
      <c r="V593" s="100"/>
    </row>
    <row r="594" spans="4:22" ht="15" customHeight="1">
      <c r="D594" s="98" t="b">
        <v>0</v>
      </c>
      <c r="E594" s="93">
        <v>0</v>
      </c>
      <c r="F594" s="91">
        <v>3</v>
      </c>
      <c r="G594" s="91" t="s">
        <v>81</v>
      </c>
      <c r="H594" s="92"/>
      <c r="I594" s="92">
        <v>0</v>
      </c>
      <c r="J594" s="92">
        <v>0</v>
      </c>
      <c r="K594" s="92">
        <v>7.6292</v>
      </c>
      <c r="L594" s="92" t="s">
        <v>86</v>
      </c>
      <c r="M594" s="92" t="s">
        <v>76</v>
      </c>
      <c r="N594" s="92" t="s">
        <v>83</v>
      </c>
      <c r="O594" s="92" t="b">
        <v>0</v>
      </c>
      <c r="P594" s="92"/>
      <c r="Q594" s="92" t="s">
        <v>87</v>
      </c>
      <c r="R594" s="92" t="s">
        <v>80</v>
      </c>
      <c r="S594" s="92" t="b">
        <v>1</v>
      </c>
      <c r="T594" s="100">
        <v>1</v>
      </c>
      <c r="U594" s="100">
        <v>3.1786094719258757E+18</v>
      </c>
      <c r="V594" s="100"/>
    </row>
    <row r="595" spans="4:22" ht="15" customHeight="1">
      <c r="D595" s="98" t="b">
        <v>0</v>
      </c>
      <c r="E595" s="93">
        <v>0</v>
      </c>
      <c r="F595" s="91">
        <v>3</v>
      </c>
      <c r="G595" s="91" t="s">
        <v>81</v>
      </c>
      <c r="H595" s="92">
        <v>37</v>
      </c>
      <c r="I595" s="92">
        <v>0</v>
      </c>
      <c r="J595" s="92">
        <v>0</v>
      </c>
      <c r="K595" s="92">
        <v>9.5875000000000004</v>
      </c>
      <c r="L595" s="92" t="s">
        <v>75</v>
      </c>
      <c r="M595" s="92" t="s">
        <v>76</v>
      </c>
      <c r="N595" s="92" t="s">
        <v>83</v>
      </c>
      <c r="O595" s="92" t="b">
        <v>0</v>
      </c>
      <c r="P595" s="92"/>
      <c r="Q595" s="92" t="s">
        <v>79</v>
      </c>
      <c r="R595" s="92" t="s">
        <v>80</v>
      </c>
      <c r="S595" s="92" t="b">
        <v>1</v>
      </c>
      <c r="T595" s="100">
        <v>1</v>
      </c>
      <c r="U595" s="100">
        <v>1.5020256667596014E+19</v>
      </c>
      <c r="V595" s="100"/>
    </row>
    <row r="596" spans="4:22" ht="15" customHeight="1">
      <c r="D596" s="98" t="b">
        <v>0</v>
      </c>
      <c r="E596" s="93">
        <v>1</v>
      </c>
      <c r="F596" s="91">
        <v>1</v>
      </c>
      <c r="G596" s="91" t="s">
        <v>81</v>
      </c>
      <c r="H596" s="92">
        <v>16</v>
      </c>
      <c r="I596" s="92">
        <v>0</v>
      </c>
      <c r="J596" s="92">
        <v>0</v>
      </c>
      <c r="K596" s="92">
        <v>86.5</v>
      </c>
      <c r="L596" s="92" t="s">
        <v>75</v>
      </c>
      <c r="M596" s="92" t="s">
        <v>82</v>
      </c>
      <c r="N596" s="92" t="s">
        <v>83</v>
      </c>
      <c r="O596" s="92" t="b">
        <v>0</v>
      </c>
      <c r="P596" s="92" t="s">
        <v>94</v>
      </c>
      <c r="Q596" s="92" t="s">
        <v>79</v>
      </c>
      <c r="R596" s="92" t="s">
        <v>85</v>
      </c>
      <c r="S596" s="92" t="b">
        <v>1</v>
      </c>
      <c r="T596" s="100">
        <v>0</v>
      </c>
      <c r="U596" s="100">
        <v>1.1903135122759784E+19</v>
      </c>
      <c r="V596" s="100"/>
    </row>
    <row r="597" spans="4:22" ht="15" customHeight="1">
      <c r="D597" s="98" t="b">
        <v>0</v>
      </c>
      <c r="E597" s="93">
        <v>0</v>
      </c>
      <c r="F597" s="91">
        <v>1</v>
      </c>
      <c r="G597" s="91" t="s">
        <v>74</v>
      </c>
      <c r="H597" s="92">
        <v>18</v>
      </c>
      <c r="I597" s="92">
        <v>1</v>
      </c>
      <c r="J597" s="92">
        <v>0</v>
      </c>
      <c r="K597" s="92">
        <v>108.9</v>
      </c>
      <c r="L597" s="92" t="s">
        <v>78</v>
      </c>
      <c r="M597" s="92" t="s">
        <v>82</v>
      </c>
      <c r="N597" s="92" t="s">
        <v>77</v>
      </c>
      <c r="O597" s="92" t="b">
        <v>1</v>
      </c>
      <c r="P597" s="92" t="s">
        <v>78</v>
      </c>
      <c r="Q597" s="92" t="s">
        <v>84</v>
      </c>
      <c r="R597" s="92" t="s">
        <v>80</v>
      </c>
      <c r="S597" s="92" t="b">
        <v>0</v>
      </c>
      <c r="T597" s="100">
        <v>0</v>
      </c>
      <c r="U597" s="100">
        <v>5.4749061065651558E+18</v>
      </c>
      <c r="V597" s="100"/>
    </row>
    <row r="598" spans="4:22" ht="15" customHeight="1">
      <c r="D598" s="98" t="b">
        <v>0</v>
      </c>
      <c r="E598" s="93">
        <v>1</v>
      </c>
      <c r="F598" s="91">
        <v>2</v>
      </c>
      <c r="G598" s="91" t="s">
        <v>81</v>
      </c>
      <c r="H598" s="92">
        <v>33</v>
      </c>
      <c r="I598" s="92">
        <v>0</v>
      </c>
      <c r="J598" s="92">
        <v>2</v>
      </c>
      <c r="K598" s="92">
        <v>26</v>
      </c>
      <c r="L598" s="92" t="s">
        <v>75</v>
      </c>
      <c r="M598" s="92" t="s">
        <v>90</v>
      </c>
      <c r="N598" s="92" t="s">
        <v>83</v>
      </c>
      <c r="O598" s="92" t="b">
        <v>0</v>
      </c>
      <c r="P598" s="92"/>
      <c r="Q598" s="92" t="s">
        <v>79</v>
      </c>
      <c r="R598" s="92" t="s">
        <v>85</v>
      </c>
      <c r="S598" s="92" t="b">
        <v>0</v>
      </c>
      <c r="T598" s="100">
        <v>1</v>
      </c>
      <c r="U598" s="100">
        <v>8.9661579240469012E+18</v>
      </c>
      <c r="V598" s="100"/>
    </row>
    <row r="599" spans="4:22" ht="15" customHeight="1">
      <c r="D599" s="98" t="b">
        <v>0</v>
      </c>
      <c r="E599" s="93">
        <v>1</v>
      </c>
      <c r="F599" s="91">
        <v>1</v>
      </c>
      <c r="G599" s="91" t="s">
        <v>74</v>
      </c>
      <c r="H599" s="92"/>
      <c r="I599" s="92">
        <v>0</v>
      </c>
      <c r="J599" s="92">
        <v>0</v>
      </c>
      <c r="K599" s="92">
        <v>26.55</v>
      </c>
      <c r="L599" s="92" t="s">
        <v>75</v>
      </c>
      <c r="M599" s="92" t="s">
        <v>82</v>
      </c>
      <c r="N599" s="92" t="s">
        <v>77</v>
      </c>
      <c r="O599" s="92" t="b">
        <v>1</v>
      </c>
      <c r="P599" s="92"/>
      <c r="Q599" s="92" t="s">
        <v>79</v>
      </c>
      <c r="R599" s="92" t="s">
        <v>85</v>
      </c>
      <c r="S599" s="92" t="b">
        <v>1</v>
      </c>
      <c r="T599" s="100">
        <v>1</v>
      </c>
      <c r="U599" s="100">
        <v>1.0591081108640881E+19</v>
      </c>
      <c r="V599" s="100"/>
    </row>
    <row r="600" spans="4:22" ht="15" customHeight="1">
      <c r="D600" s="98" t="b">
        <v>0</v>
      </c>
      <c r="E600" s="93">
        <v>0</v>
      </c>
      <c r="F600" s="91">
        <v>3</v>
      </c>
      <c r="G600" s="91" t="s">
        <v>74</v>
      </c>
      <c r="H600" s="92">
        <v>28</v>
      </c>
      <c r="I600" s="92">
        <v>0</v>
      </c>
      <c r="J600" s="92">
        <v>0</v>
      </c>
      <c r="K600" s="92">
        <v>22.524999999999999</v>
      </c>
      <c r="L600" s="92" t="s">
        <v>75</v>
      </c>
      <c r="M600" s="92" t="s">
        <v>76</v>
      </c>
      <c r="N600" s="92" t="s">
        <v>77</v>
      </c>
      <c r="O600" s="92" t="b">
        <v>1</v>
      </c>
      <c r="P600" s="92"/>
      <c r="Q600" s="92" t="s">
        <v>79</v>
      </c>
      <c r="R600" s="92" t="s">
        <v>80</v>
      </c>
      <c r="S600" s="92" t="b">
        <v>1</v>
      </c>
      <c r="T600" s="100">
        <v>1</v>
      </c>
      <c r="U600" s="100">
        <v>5.6639097578327532E+18</v>
      </c>
      <c r="V600" s="100"/>
    </row>
    <row r="601" spans="4:22" ht="15" customHeight="1">
      <c r="D601" s="98" t="b">
        <v>0</v>
      </c>
      <c r="E601" s="93">
        <v>1</v>
      </c>
      <c r="F601" s="91">
        <v>3</v>
      </c>
      <c r="G601" s="91" t="s">
        <v>74</v>
      </c>
      <c r="H601" s="92">
        <v>26</v>
      </c>
      <c r="I601" s="92">
        <v>0</v>
      </c>
      <c r="J601" s="92">
        <v>0</v>
      </c>
      <c r="K601" s="92">
        <v>56.495800000000003</v>
      </c>
      <c r="L601" s="92" t="s">
        <v>75</v>
      </c>
      <c r="M601" s="92" t="s">
        <v>76</v>
      </c>
      <c r="N601" s="92" t="s">
        <v>77</v>
      </c>
      <c r="O601" s="92" t="b">
        <v>1</v>
      </c>
      <c r="P601" s="92"/>
      <c r="Q601" s="92" t="s">
        <v>79</v>
      </c>
      <c r="R601" s="92" t="s">
        <v>85</v>
      </c>
      <c r="S601" s="92" t="b">
        <v>1</v>
      </c>
      <c r="T601" s="100">
        <v>1</v>
      </c>
      <c r="U601" s="100">
        <v>1.1407621000359703E+19</v>
      </c>
      <c r="V601" s="100"/>
    </row>
    <row r="602" spans="4:22" ht="15" customHeight="1">
      <c r="D602" s="98" t="b">
        <v>0</v>
      </c>
      <c r="E602" s="93">
        <v>1</v>
      </c>
      <c r="F602" s="91">
        <v>3</v>
      </c>
      <c r="G602" s="91" t="s">
        <v>74</v>
      </c>
      <c r="H602" s="92">
        <v>29</v>
      </c>
      <c r="I602" s="92">
        <v>0</v>
      </c>
      <c r="J602" s="92">
        <v>0</v>
      </c>
      <c r="K602" s="92">
        <v>7.75</v>
      </c>
      <c r="L602" s="92" t="s">
        <v>86</v>
      </c>
      <c r="M602" s="92" t="s">
        <v>76</v>
      </c>
      <c r="N602" s="92" t="s">
        <v>77</v>
      </c>
      <c r="O602" s="92" t="b">
        <v>1</v>
      </c>
      <c r="P602" s="92"/>
      <c r="Q602" s="92" t="s">
        <v>87</v>
      </c>
      <c r="R602" s="92" t="s">
        <v>85</v>
      </c>
      <c r="S602" s="92" t="b">
        <v>1</v>
      </c>
      <c r="T602" s="100">
        <v>1</v>
      </c>
      <c r="U602" s="100">
        <v>7.0079247131497738E+18</v>
      </c>
      <c r="V602" s="100"/>
    </row>
    <row r="603" spans="4:22" ht="15" customHeight="1">
      <c r="D603" s="98" t="b">
        <v>0</v>
      </c>
      <c r="E603" s="93">
        <v>0</v>
      </c>
      <c r="F603" s="91">
        <v>3</v>
      </c>
      <c r="G603" s="91" t="s">
        <v>74</v>
      </c>
      <c r="H603" s="92"/>
      <c r="I603" s="92">
        <v>0</v>
      </c>
      <c r="J603" s="92">
        <v>0</v>
      </c>
      <c r="K603" s="92">
        <v>8.0500000000000007</v>
      </c>
      <c r="L603" s="92" t="s">
        <v>75</v>
      </c>
      <c r="M603" s="92" t="s">
        <v>76</v>
      </c>
      <c r="N603" s="92" t="s">
        <v>77</v>
      </c>
      <c r="O603" s="92" t="b">
        <v>1</v>
      </c>
      <c r="P603" s="92"/>
      <c r="Q603" s="92" t="s">
        <v>79</v>
      </c>
      <c r="R603" s="92" t="s">
        <v>80</v>
      </c>
      <c r="S603" s="92" t="b">
        <v>1</v>
      </c>
      <c r="T603" s="100">
        <v>1</v>
      </c>
      <c r="U603" s="100">
        <v>1.036563458869572E+19</v>
      </c>
      <c r="V603" s="100"/>
    </row>
    <row r="604" spans="4:22" ht="15" customHeight="1">
      <c r="D604" s="98" t="b">
        <v>0</v>
      </c>
      <c r="E604" s="93">
        <v>1</v>
      </c>
      <c r="F604" s="91">
        <v>1</v>
      </c>
      <c r="G604" s="91" t="s">
        <v>74</v>
      </c>
      <c r="H604" s="92">
        <v>36</v>
      </c>
      <c r="I604" s="92">
        <v>0</v>
      </c>
      <c r="J604" s="92">
        <v>0</v>
      </c>
      <c r="K604" s="92">
        <v>26.287500000000001</v>
      </c>
      <c r="L604" s="92" t="s">
        <v>75</v>
      </c>
      <c r="M604" s="92" t="s">
        <v>82</v>
      </c>
      <c r="N604" s="92" t="s">
        <v>77</v>
      </c>
      <c r="O604" s="92" t="b">
        <v>1</v>
      </c>
      <c r="P604" s="92" t="s">
        <v>88</v>
      </c>
      <c r="Q604" s="92" t="s">
        <v>79</v>
      </c>
      <c r="R604" s="92" t="s">
        <v>85</v>
      </c>
      <c r="S604" s="92" t="b">
        <v>1</v>
      </c>
      <c r="T604" s="100">
        <v>0</v>
      </c>
      <c r="U604" s="100">
        <v>8.6494521476426516E+18</v>
      </c>
      <c r="V604" s="100"/>
    </row>
    <row r="605" spans="4:22" ht="15" customHeight="1">
      <c r="D605" s="98" t="b">
        <v>0</v>
      </c>
      <c r="E605" s="93">
        <v>1</v>
      </c>
      <c r="F605" s="91">
        <v>1</v>
      </c>
      <c r="G605" s="91" t="s">
        <v>81</v>
      </c>
      <c r="H605" s="92">
        <v>54</v>
      </c>
      <c r="I605" s="92">
        <v>1</v>
      </c>
      <c r="J605" s="92">
        <v>0</v>
      </c>
      <c r="K605" s="92">
        <v>59.4</v>
      </c>
      <c r="L605" s="92" t="s">
        <v>78</v>
      </c>
      <c r="M605" s="92" t="s">
        <v>82</v>
      </c>
      <c r="N605" s="92" t="s">
        <v>83</v>
      </c>
      <c r="O605" s="92" t="b">
        <v>0</v>
      </c>
      <c r="P605" s="92"/>
      <c r="Q605" s="92" t="s">
        <v>84</v>
      </c>
      <c r="R605" s="92" t="s">
        <v>85</v>
      </c>
      <c r="S605" s="92" t="b">
        <v>0</v>
      </c>
      <c r="T605" s="100">
        <v>1</v>
      </c>
      <c r="U605" s="100">
        <v>1.4502923901694951E+19</v>
      </c>
      <c r="V605" s="100"/>
    </row>
    <row r="606" spans="4:22" ht="15" customHeight="1">
      <c r="D606" s="98" t="b">
        <v>0</v>
      </c>
      <c r="E606" s="93">
        <v>0</v>
      </c>
      <c r="F606" s="91">
        <v>3</v>
      </c>
      <c r="G606" s="91" t="s">
        <v>74</v>
      </c>
      <c r="H606" s="92">
        <v>24</v>
      </c>
      <c r="I606" s="92">
        <v>0</v>
      </c>
      <c r="J606" s="92">
        <v>0</v>
      </c>
      <c r="K606" s="92">
        <v>7.4958</v>
      </c>
      <c r="L606" s="92" t="s">
        <v>75</v>
      </c>
      <c r="M606" s="92" t="s">
        <v>76</v>
      </c>
      <c r="N606" s="92" t="s">
        <v>77</v>
      </c>
      <c r="O606" s="92" t="b">
        <v>1</v>
      </c>
      <c r="P606" s="92"/>
      <c r="Q606" s="92" t="s">
        <v>79</v>
      </c>
      <c r="R606" s="92" t="s">
        <v>80</v>
      </c>
      <c r="S606" s="92" t="b">
        <v>1</v>
      </c>
      <c r="T606" s="100">
        <v>1</v>
      </c>
      <c r="U606" s="100">
        <v>6.876123172453879E+17</v>
      </c>
      <c r="V606" s="100"/>
    </row>
    <row r="607" spans="4:22" ht="15" customHeight="1">
      <c r="D607" s="98" t="b">
        <v>0</v>
      </c>
      <c r="E607" s="93">
        <v>0</v>
      </c>
      <c r="F607" s="91">
        <v>1</v>
      </c>
      <c r="G607" s="91" t="s">
        <v>74</v>
      </c>
      <c r="H607" s="92">
        <v>47</v>
      </c>
      <c r="I607" s="92">
        <v>0</v>
      </c>
      <c r="J607" s="92">
        <v>0</v>
      </c>
      <c r="K607" s="92">
        <v>34.020800000000001</v>
      </c>
      <c r="L607" s="92" t="s">
        <v>75</v>
      </c>
      <c r="M607" s="92" t="s">
        <v>82</v>
      </c>
      <c r="N607" s="92" t="s">
        <v>77</v>
      </c>
      <c r="O607" s="92" t="b">
        <v>1</v>
      </c>
      <c r="P607" s="92" t="s">
        <v>92</v>
      </c>
      <c r="Q607" s="92" t="s">
        <v>79</v>
      </c>
      <c r="R607" s="92" t="s">
        <v>80</v>
      </c>
      <c r="S607" s="92" t="b">
        <v>1</v>
      </c>
      <c r="T607" s="100">
        <v>0</v>
      </c>
      <c r="U607" s="100">
        <v>8.0946316847883428E+18</v>
      </c>
      <c r="V607" s="100"/>
    </row>
    <row r="608" spans="4:22" ht="15" customHeight="1">
      <c r="D608" s="98" t="b">
        <v>0</v>
      </c>
      <c r="E608" s="93">
        <v>1</v>
      </c>
      <c r="F608" s="91">
        <v>2</v>
      </c>
      <c r="G608" s="91" t="s">
        <v>81</v>
      </c>
      <c r="H608" s="92">
        <v>34</v>
      </c>
      <c r="I608" s="92">
        <v>0</v>
      </c>
      <c r="J608" s="92">
        <v>0</v>
      </c>
      <c r="K608" s="92">
        <v>10.5</v>
      </c>
      <c r="L608" s="92" t="s">
        <v>75</v>
      </c>
      <c r="M608" s="92" t="s">
        <v>90</v>
      </c>
      <c r="N608" s="92" t="s">
        <v>83</v>
      </c>
      <c r="O608" s="92" t="b">
        <v>0</v>
      </c>
      <c r="P608" s="92" t="s">
        <v>95</v>
      </c>
      <c r="Q608" s="92" t="s">
        <v>79</v>
      </c>
      <c r="R608" s="92" t="s">
        <v>85</v>
      </c>
      <c r="S608" s="92" t="b">
        <v>1</v>
      </c>
      <c r="T608" s="100">
        <v>0</v>
      </c>
      <c r="U608" s="100">
        <v>2.9063834691813642E+18</v>
      </c>
      <c r="V608" s="100"/>
    </row>
    <row r="609" spans="4:22" ht="15" customHeight="1">
      <c r="D609" s="98" t="b">
        <v>0</v>
      </c>
      <c r="E609" s="93">
        <v>0</v>
      </c>
      <c r="F609" s="91">
        <v>3</v>
      </c>
      <c r="G609" s="91" t="s">
        <v>74</v>
      </c>
      <c r="H609" s="92"/>
      <c r="I609" s="92">
        <v>0</v>
      </c>
      <c r="J609" s="92">
        <v>0</v>
      </c>
      <c r="K609" s="92">
        <v>24.15</v>
      </c>
      <c r="L609" s="92" t="s">
        <v>86</v>
      </c>
      <c r="M609" s="92" t="s">
        <v>76</v>
      </c>
      <c r="N609" s="92" t="s">
        <v>77</v>
      </c>
      <c r="O609" s="92" t="b">
        <v>1</v>
      </c>
      <c r="P609" s="92"/>
      <c r="Q609" s="92" t="s">
        <v>87</v>
      </c>
      <c r="R609" s="92" t="s">
        <v>80</v>
      </c>
      <c r="S609" s="92" t="b">
        <v>1</v>
      </c>
      <c r="T609" s="100">
        <v>1</v>
      </c>
      <c r="U609" s="100">
        <v>6.8697704788835666E+18</v>
      </c>
      <c r="V609" s="100"/>
    </row>
    <row r="610" spans="4:22" ht="15" customHeight="1">
      <c r="D610" s="98" t="b">
        <v>0</v>
      </c>
      <c r="E610" s="93">
        <v>1</v>
      </c>
      <c r="F610" s="91">
        <v>2</v>
      </c>
      <c r="G610" s="91" t="s">
        <v>81</v>
      </c>
      <c r="H610" s="92">
        <v>36</v>
      </c>
      <c r="I610" s="92">
        <v>1</v>
      </c>
      <c r="J610" s="92">
        <v>0</v>
      </c>
      <c r="K610" s="92">
        <v>26</v>
      </c>
      <c r="L610" s="92" t="s">
        <v>75</v>
      </c>
      <c r="M610" s="92" t="s">
        <v>90</v>
      </c>
      <c r="N610" s="92" t="s">
        <v>83</v>
      </c>
      <c r="O610" s="92" t="b">
        <v>0</v>
      </c>
      <c r="P610" s="92"/>
      <c r="Q610" s="92" t="s">
        <v>79</v>
      </c>
      <c r="R610" s="92" t="s">
        <v>85</v>
      </c>
      <c r="S610" s="92" t="b">
        <v>0</v>
      </c>
      <c r="T610" s="100">
        <v>1</v>
      </c>
      <c r="U610" s="100">
        <v>3.2986769981004319E+18</v>
      </c>
      <c r="V610" s="100"/>
    </row>
    <row r="611" spans="4:22" ht="15" customHeight="1">
      <c r="D611" s="98" t="b">
        <v>0</v>
      </c>
      <c r="E611" s="93">
        <v>0</v>
      </c>
      <c r="F611" s="91">
        <v>3</v>
      </c>
      <c r="G611" s="91" t="s">
        <v>74</v>
      </c>
      <c r="H611" s="92">
        <v>32</v>
      </c>
      <c r="I611" s="92">
        <v>0</v>
      </c>
      <c r="J611" s="92">
        <v>0</v>
      </c>
      <c r="K611" s="92">
        <v>7.8958000000000004</v>
      </c>
      <c r="L611" s="92" t="s">
        <v>75</v>
      </c>
      <c r="M611" s="92" t="s">
        <v>76</v>
      </c>
      <c r="N611" s="92" t="s">
        <v>77</v>
      </c>
      <c r="O611" s="92" t="b">
        <v>1</v>
      </c>
      <c r="P611" s="92"/>
      <c r="Q611" s="92" t="s">
        <v>79</v>
      </c>
      <c r="R611" s="92" t="s">
        <v>80</v>
      </c>
      <c r="S611" s="92" t="b">
        <v>1</v>
      </c>
      <c r="T611" s="100">
        <v>1</v>
      </c>
      <c r="U611" s="100">
        <v>8.8552000085626143E+18</v>
      </c>
      <c r="V611" s="100"/>
    </row>
    <row r="612" spans="4:22" ht="15" customHeight="1">
      <c r="D612" s="98" t="b">
        <v>0</v>
      </c>
      <c r="E612" s="93">
        <v>1</v>
      </c>
      <c r="F612" s="91">
        <v>1</v>
      </c>
      <c r="G612" s="91" t="s">
        <v>81</v>
      </c>
      <c r="H612" s="92">
        <v>30</v>
      </c>
      <c r="I612" s="92">
        <v>0</v>
      </c>
      <c r="J612" s="92">
        <v>0</v>
      </c>
      <c r="K612" s="92">
        <v>93.5</v>
      </c>
      <c r="L612" s="92" t="s">
        <v>75</v>
      </c>
      <c r="M612" s="92" t="s">
        <v>82</v>
      </c>
      <c r="N612" s="92" t="s">
        <v>83</v>
      </c>
      <c r="O612" s="92" t="b">
        <v>0</v>
      </c>
      <c r="P612" s="92" t="s">
        <v>94</v>
      </c>
      <c r="Q612" s="92" t="s">
        <v>79</v>
      </c>
      <c r="R612" s="92" t="s">
        <v>85</v>
      </c>
      <c r="S612" s="92" t="b">
        <v>1</v>
      </c>
      <c r="T612" s="100">
        <v>0</v>
      </c>
      <c r="U612" s="100">
        <v>1.1010855097371118E+19</v>
      </c>
      <c r="V612" s="100"/>
    </row>
    <row r="613" spans="4:22" ht="15" customHeight="1">
      <c r="D613" s="98" t="b">
        <v>0</v>
      </c>
      <c r="E613" s="93">
        <v>0</v>
      </c>
      <c r="F613" s="91">
        <v>3</v>
      </c>
      <c r="G613" s="91" t="s">
        <v>74</v>
      </c>
      <c r="H613" s="92">
        <v>22</v>
      </c>
      <c r="I613" s="92">
        <v>0</v>
      </c>
      <c r="J613" s="92">
        <v>0</v>
      </c>
      <c r="K613" s="92">
        <v>7.8958000000000004</v>
      </c>
      <c r="L613" s="92" t="s">
        <v>75</v>
      </c>
      <c r="M613" s="92" t="s">
        <v>76</v>
      </c>
      <c r="N613" s="92" t="s">
        <v>77</v>
      </c>
      <c r="O613" s="92" t="b">
        <v>1</v>
      </c>
      <c r="P613" s="92"/>
      <c r="Q613" s="92" t="s">
        <v>79</v>
      </c>
      <c r="R613" s="92" t="s">
        <v>80</v>
      </c>
      <c r="S613" s="92" t="b">
        <v>1</v>
      </c>
      <c r="T613" s="100">
        <v>1</v>
      </c>
      <c r="U613" s="100">
        <v>8.5491614566769357E+18</v>
      </c>
      <c r="V613" s="100"/>
    </row>
    <row r="614" spans="4:22" ht="15" customHeight="1">
      <c r="D614" s="98" t="b">
        <v>0</v>
      </c>
      <c r="E614" s="93">
        <v>0</v>
      </c>
      <c r="F614" s="91">
        <v>3</v>
      </c>
      <c r="G614" s="91" t="s">
        <v>74</v>
      </c>
      <c r="H614" s="92"/>
      <c r="I614" s="92">
        <v>0</v>
      </c>
      <c r="J614" s="92">
        <v>0</v>
      </c>
      <c r="K614" s="92">
        <v>7.2249999999999996</v>
      </c>
      <c r="L614" s="92" t="s">
        <v>78</v>
      </c>
      <c r="M614" s="92" t="s">
        <v>76</v>
      </c>
      <c r="N614" s="92" t="s">
        <v>77</v>
      </c>
      <c r="O614" s="92" t="b">
        <v>1</v>
      </c>
      <c r="P614" s="92"/>
      <c r="Q614" s="92" t="s">
        <v>84</v>
      </c>
      <c r="R614" s="92" t="s">
        <v>80</v>
      </c>
      <c r="S614" s="92" t="b">
        <v>1</v>
      </c>
      <c r="T614" s="100">
        <v>1</v>
      </c>
      <c r="U614" s="100">
        <v>4.2150475999644298E+18</v>
      </c>
      <c r="V614" s="100"/>
    </row>
    <row r="615" spans="4:22" ht="15" customHeight="1">
      <c r="D615" s="98" t="b">
        <v>0</v>
      </c>
      <c r="E615" s="93">
        <v>1</v>
      </c>
      <c r="F615" s="91">
        <v>1</v>
      </c>
      <c r="G615" s="91" t="s">
        <v>81</v>
      </c>
      <c r="H615" s="92">
        <v>44</v>
      </c>
      <c r="I615" s="92">
        <v>0</v>
      </c>
      <c r="J615" s="92">
        <v>1</v>
      </c>
      <c r="K615" s="92">
        <v>57.979199999999999</v>
      </c>
      <c r="L615" s="92" t="s">
        <v>78</v>
      </c>
      <c r="M615" s="92" t="s">
        <v>82</v>
      </c>
      <c r="N615" s="92" t="s">
        <v>83</v>
      </c>
      <c r="O615" s="92" t="b">
        <v>0</v>
      </c>
      <c r="P615" s="92" t="s">
        <v>94</v>
      </c>
      <c r="Q615" s="92" t="s">
        <v>84</v>
      </c>
      <c r="R615" s="92" t="s">
        <v>85</v>
      </c>
      <c r="S615" s="92" t="b">
        <v>0</v>
      </c>
      <c r="T615" s="100">
        <v>0</v>
      </c>
      <c r="U615" s="100">
        <v>1.1286708956753021E+19</v>
      </c>
      <c r="V615" s="100"/>
    </row>
    <row r="616" spans="4:22" ht="15" customHeight="1">
      <c r="D616" s="98" t="b">
        <v>0</v>
      </c>
      <c r="E616" s="93">
        <v>0</v>
      </c>
      <c r="F616" s="91">
        <v>3</v>
      </c>
      <c r="G616" s="91" t="s">
        <v>74</v>
      </c>
      <c r="H616" s="92"/>
      <c r="I616" s="92">
        <v>0</v>
      </c>
      <c r="J616" s="92">
        <v>0</v>
      </c>
      <c r="K616" s="92">
        <v>7.2291999999999996</v>
      </c>
      <c r="L616" s="92" t="s">
        <v>78</v>
      </c>
      <c r="M616" s="92" t="s">
        <v>76</v>
      </c>
      <c r="N616" s="92" t="s">
        <v>77</v>
      </c>
      <c r="O616" s="92" t="b">
        <v>1</v>
      </c>
      <c r="P616" s="92"/>
      <c r="Q616" s="92" t="s">
        <v>84</v>
      </c>
      <c r="R616" s="92" t="s">
        <v>80</v>
      </c>
      <c r="S616" s="92" t="b">
        <v>1</v>
      </c>
      <c r="T616" s="100">
        <v>1</v>
      </c>
      <c r="U616" s="100">
        <v>4.8387927669229558E+18</v>
      </c>
      <c r="V616" s="100"/>
    </row>
    <row r="617" spans="4:22" ht="15" customHeight="1">
      <c r="D617" s="98" t="b">
        <v>0</v>
      </c>
      <c r="E617" s="93">
        <v>1</v>
      </c>
      <c r="F617" s="91">
        <v>2</v>
      </c>
      <c r="G617" s="91" t="s">
        <v>81</v>
      </c>
      <c r="H617" s="92">
        <v>50</v>
      </c>
      <c r="I617" s="92">
        <v>0</v>
      </c>
      <c r="J617" s="92">
        <v>0</v>
      </c>
      <c r="K617" s="92">
        <v>10.5</v>
      </c>
      <c r="L617" s="92" t="s">
        <v>75</v>
      </c>
      <c r="M617" s="92" t="s">
        <v>90</v>
      </c>
      <c r="N617" s="92" t="s">
        <v>83</v>
      </c>
      <c r="O617" s="92" t="b">
        <v>0</v>
      </c>
      <c r="P617" s="92"/>
      <c r="Q617" s="92" t="s">
        <v>79</v>
      </c>
      <c r="R617" s="92" t="s">
        <v>85</v>
      </c>
      <c r="S617" s="92" t="b">
        <v>1</v>
      </c>
      <c r="T617" s="100">
        <v>1</v>
      </c>
      <c r="U617" s="100">
        <v>1.4243851618328265E+19</v>
      </c>
      <c r="V617" s="100"/>
    </row>
    <row r="618" spans="4:22" ht="15" customHeight="1">
      <c r="D618" s="98" t="b">
        <v>0</v>
      </c>
      <c r="E618" s="93">
        <v>0</v>
      </c>
      <c r="F618" s="91">
        <v>1</v>
      </c>
      <c r="G618" s="91" t="s">
        <v>74</v>
      </c>
      <c r="H618" s="92"/>
      <c r="I618" s="92">
        <v>0</v>
      </c>
      <c r="J618" s="92">
        <v>0</v>
      </c>
      <c r="K618" s="92">
        <v>221.7792</v>
      </c>
      <c r="L618" s="92" t="s">
        <v>75</v>
      </c>
      <c r="M618" s="92" t="s">
        <v>82</v>
      </c>
      <c r="N618" s="92" t="s">
        <v>77</v>
      </c>
      <c r="O618" s="92" t="b">
        <v>1</v>
      </c>
      <c r="P618" s="92" t="s">
        <v>78</v>
      </c>
      <c r="Q618" s="92" t="s">
        <v>79</v>
      </c>
      <c r="R618" s="92" t="s">
        <v>80</v>
      </c>
      <c r="S618" s="92" t="b">
        <v>1</v>
      </c>
      <c r="T618" s="100">
        <v>1</v>
      </c>
      <c r="U618" s="100">
        <v>5.4602599884135588E+18</v>
      </c>
      <c r="V618" s="100"/>
    </row>
    <row r="619" spans="4:22" ht="15" customHeight="1">
      <c r="D619" s="98" t="b">
        <v>0</v>
      </c>
      <c r="E619" s="93">
        <v>0</v>
      </c>
      <c r="F619" s="91">
        <v>3</v>
      </c>
      <c r="G619" s="91" t="s">
        <v>74</v>
      </c>
      <c r="H619" s="92">
        <v>39</v>
      </c>
      <c r="I619" s="92">
        <v>0</v>
      </c>
      <c r="J619" s="92">
        <v>0</v>
      </c>
      <c r="K619" s="92">
        <v>7.9249999999999998</v>
      </c>
      <c r="L619" s="92" t="s">
        <v>75</v>
      </c>
      <c r="M619" s="92" t="s">
        <v>76</v>
      </c>
      <c r="N619" s="92" t="s">
        <v>77</v>
      </c>
      <c r="O619" s="92" t="b">
        <v>1</v>
      </c>
      <c r="P619" s="92"/>
      <c r="Q619" s="92" t="s">
        <v>79</v>
      </c>
      <c r="R619" s="92" t="s">
        <v>80</v>
      </c>
      <c r="S619" s="92" t="b">
        <v>1</v>
      </c>
      <c r="T619" s="100">
        <v>1</v>
      </c>
      <c r="U619" s="100">
        <v>2.8650753672644899E+17</v>
      </c>
      <c r="V619" s="100"/>
    </row>
    <row r="620" spans="4:22" ht="15" customHeight="1">
      <c r="D620" s="98" t="b">
        <v>0</v>
      </c>
      <c r="E620" s="93">
        <v>0</v>
      </c>
      <c r="F620" s="91">
        <v>2</v>
      </c>
      <c r="G620" s="91" t="s">
        <v>74</v>
      </c>
      <c r="H620" s="92">
        <v>23</v>
      </c>
      <c r="I620" s="92">
        <v>2</v>
      </c>
      <c r="J620" s="92">
        <v>1</v>
      </c>
      <c r="K620" s="92">
        <v>11.5</v>
      </c>
      <c r="L620" s="92" t="s">
        <v>75</v>
      </c>
      <c r="M620" s="92" t="s">
        <v>90</v>
      </c>
      <c r="N620" s="92" t="s">
        <v>77</v>
      </c>
      <c r="O620" s="92" t="b">
        <v>1</v>
      </c>
      <c r="P620" s="92"/>
      <c r="Q620" s="92" t="s">
        <v>79</v>
      </c>
      <c r="R620" s="92" t="s">
        <v>80</v>
      </c>
      <c r="S620" s="92" t="b">
        <v>0</v>
      </c>
      <c r="T620" s="100">
        <v>1</v>
      </c>
      <c r="U620" s="100">
        <v>4.828236288434348E+18</v>
      </c>
      <c r="V620" s="100"/>
    </row>
    <row r="621" spans="4:22" ht="15" customHeight="1">
      <c r="D621" s="98" t="b">
        <v>0</v>
      </c>
      <c r="E621" s="93">
        <v>1</v>
      </c>
      <c r="F621" s="91">
        <v>2</v>
      </c>
      <c r="G621" s="91" t="s">
        <v>81</v>
      </c>
      <c r="H621" s="92">
        <v>2</v>
      </c>
      <c r="I621" s="92">
        <v>1</v>
      </c>
      <c r="J621" s="92">
        <v>1</v>
      </c>
      <c r="K621" s="92">
        <v>26</v>
      </c>
      <c r="L621" s="92" t="s">
        <v>75</v>
      </c>
      <c r="M621" s="92" t="s">
        <v>90</v>
      </c>
      <c r="N621" s="92" t="s">
        <v>89</v>
      </c>
      <c r="O621" s="92" t="b">
        <v>0</v>
      </c>
      <c r="P621" s="92"/>
      <c r="Q621" s="92" t="s">
        <v>79</v>
      </c>
      <c r="R621" s="92" t="s">
        <v>85</v>
      </c>
      <c r="S621" s="92" t="b">
        <v>0</v>
      </c>
      <c r="T621" s="100">
        <v>1</v>
      </c>
      <c r="U621" s="100">
        <v>1.7328413075730002E+19</v>
      </c>
      <c r="V621" s="100"/>
    </row>
    <row r="622" spans="4:22" ht="15" customHeight="1">
      <c r="D622" s="98" t="b">
        <v>0</v>
      </c>
      <c r="E622" s="93">
        <v>0</v>
      </c>
      <c r="F622" s="91">
        <v>3</v>
      </c>
      <c r="G622" s="91" t="s">
        <v>74</v>
      </c>
      <c r="H622" s="92"/>
      <c r="I622" s="92">
        <v>0</v>
      </c>
      <c r="J622" s="92">
        <v>0</v>
      </c>
      <c r="K622" s="92">
        <v>7.2291999999999996</v>
      </c>
      <c r="L622" s="92" t="s">
        <v>78</v>
      </c>
      <c r="M622" s="92" t="s">
        <v>76</v>
      </c>
      <c r="N622" s="92" t="s">
        <v>77</v>
      </c>
      <c r="O622" s="92" t="b">
        <v>1</v>
      </c>
      <c r="P622" s="92"/>
      <c r="Q622" s="92" t="s">
        <v>84</v>
      </c>
      <c r="R622" s="92" t="s">
        <v>80</v>
      </c>
      <c r="S622" s="92" t="b">
        <v>1</v>
      </c>
      <c r="T622" s="100">
        <v>1</v>
      </c>
      <c r="U622" s="100">
        <v>4.8387927669229558E+18</v>
      </c>
      <c r="V622" s="100"/>
    </row>
    <row r="623" spans="4:22" ht="15" customHeight="1">
      <c r="D623" s="98" t="b">
        <v>0</v>
      </c>
      <c r="E623" s="93">
        <v>0</v>
      </c>
      <c r="F623" s="91">
        <v>3</v>
      </c>
      <c r="G623" s="91" t="s">
        <v>74</v>
      </c>
      <c r="H623" s="92">
        <v>17</v>
      </c>
      <c r="I623" s="92">
        <v>1</v>
      </c>
      <c r="J623" s="92">
        <v>1</v>
      </c>
      <c r="K623" s="92">
        <v>7.2291999999999996</v>
      </c>
      <c r="L623" s="92" t="s">
        <v>78</v>
      </c>
      <c r="M623" s="92" t="s">
        <v>76</v>
      </c>
      <c r="N623" s="92" t="s">
        <v>77</v>
      </c>
      <c r="O623" s="92" t="b">
        <v>1</v>
      </c>
      <c r="P623" s="92"/>
      <c r="Q623" s="92" t="s">
        <v>84</v>
      </c>
      <c r="R623" s="92" t="s">
        <v>80</v>
      </c>
      <c r="S623" s="92" t="b">
        <v>0</v>
      </c>
      <c r="T623" s="100">
        <v>1</v>
      </c>
      <c r="U623" s="100">
        <v>1.3349702266258881E+19</v>
      </c>
      <c r="V623" s="100"/>
    </row>
    <row r="624" spans="4:22" ht="15" customHeight="1">
      <c r="D624" s="98" t="b">
        <v>0</v>
      </c>
      <c r="E624" s="93">
        <v>1</v>
      </c>
      <c r="F624" s="91">
        <v>3</v>
      </c>
      <c r="G624" s="91" t="s">
        <v>81</v>
      </c>
      <c r="H624" s="92"/>
      <c r="I624" s="92">
        <v>0</v>
      </c>
      <c r="J624" s="92">
        <v>2</v>
      </c>
      <c r="K624" s="92">
        <v>22.3583</v>
      </c>
      <c r="L624" s="92" t="s">
        <v>78</v>
      </c>
      <c r="M624" s="92" t="s">
        <v>76</v>
      </c>
      <c r="N624" s="92" t="s">
        <v>83</v>
      </c>
      <c r="O624" s="92" t="b">
        <v>0</v>
      </c>
      <c r="P624" s="92"/>
      <c r="Q624" s="92" t="s">
        <v>84</v>
      </c>
      <c r="R624" s="92" t="s">
        <v>85</v>
      </c>
      <c r="S624" s="92" t="b">
        <v>0</v>
      </c>
      <c r="T624" s="100">
        <v>1</v>
      </c>
      <c r="U624" s="100">
        <v>3.0503271317244278E+18</v>
      </c>
      <c r="V624" s="100"/>
    </row>
    <row r="625" spans="4:22" ht="15" customHeight="1">
      <c r="D625" s="98" t="b">
        <v>0</v>
      </c>
      <c r="E625" s="93">
        <v>0</v>
      </c>
      <c r="F625" s="91">
        <v>3</v>
      </c>
      <c r="G625" s="91" t="s">
        <v>81</v>
      </c>
      <c r="H625" s="92">
        <v>30</v>
      </c>
      <c r="I625" s="92">
        <v>0</v>
      </c>
      <c r="J625" s="92">
        <v>0</v>
      </c>
      <c r="K625" s="92">
        <v>8.6624999999999996</v>
      </c>
      <c r="L625" s="92" t="s">
        <v>75</v>
      </c>
      <c r="M625" s="92" t="s">
        <v>76</v>
      </c>
      <c r="N625" s="92" t="s">
        <v>83</v>
      </c>
      <c r="O625" s="92" t="b">
        <v>0</v>
      </c>
      <c r="P625" s="92"/>
      <c r="Q625" s="92" t="s">
        <v>79</v>
      </c>
      <c r="R625" s="92" t="s">
        <v>80</v>
      </c>
      <c r="S625" s="92" t="b">
        <v>1</v>
      </c>
      <c r="T625" s="100">
        <v>1</v>
      </c>
      <c r="U625" s="100">
        <v>9.6164109252748206E+18</v>
      </c>
      <c r="V625" s="100"/>
    </row>
    <row r="626" spans="4:22" ht="15" customHeight="1">
      <c r="D626" s="98" t="b">
        <v>0</v>
      </c>
      <c r="E626" s="93">
        <v>1</v>
      </c>
      <c r="F626" s="91">
        <v>2</v>
      </c>
      <c r="G626" s="91" t="s">
        <v>81</v>
      </c>
      <c r="H626" s="92">
        <v>7</v>
      </c>
      <c r="I626" s="92">
        <v>0</v>
      </c>
      <c r="J626" s="92">
        <v>2</v>
      </c>
      <c r="K626" s="92">
        <v>26.25</v>
      </c>
      <c r="L626" s="92" t="s">
        <v>75</v>
      </c>
      <c r="M626" s="92" t="s">
        <v>90</v>
      </c>
      <c r="N626" s="92" t="s">
        <v>89</v>
      </c>
      <c r="O626" s="92" t="b">
        <v>0</v>
      </c>
      <c r="P626" s="92"/>
      <c r="Q626" s="92" t="s">
        <v>79</v>
      </c>
      <c r="R626" s="92" t="s">
        <v>85</v>
      </c>
      <c r="S626" s="92" t="b">
        <v>0</v>
      </c>
      <c r="T626" s="100">
        <v>1</v>
      </c>
      <c r="U626" s="100">
        <v>1.2790292872003555E+19</v>
      </c>
      <c r="V626" s="100"/>
    </row>
    <row r="627" spans="4:22" ht="15" customHeight="1">
      <c r="D627" s="98" t="b">
        <v>0</v>
      </c>
      <c r="E627" s="93">
        <v>0</v>
      </c>
      <c r="F627" s="91">
        <v>1</v>
      </c>
      <c r="G627" s="91" t="s">
        <v>74</v>
      </c>
      <c r="H627" s="92">
        <v>45</v>
      </c>
      <c r="I627" s="92">
        <v>0</v>
      </c>
      <c r="J627" s="92">
        <v>0</v>
      </c>
      <c r="K627" s="92">
        <v>26.55</v>
      </c>
      <c r="L627" s="92" t="s">
        <v>75</v>
      </c>
      <c r="M627" s="92" t="s">
        <v>82</v>
      </c>
      <c r="N627" s="92" t="s">
        <v>77</v>
      </c>
      <c r="O627" s="92" t="b">
        <v>1</v>
      </c>
      <c r="P627" s="92" t="s">
        <v>94</v>
      </c>
      <c r="Q627" s="92" t="s">
        <v>79</v>
      </c>
      <c r="R627" s="92" t="s">
        <v>80</v>
      </c>
      <c r="S627" s="92" t="b">
        <v>1</v>
      </c>
      <c r="T627" s="100">
        <v>0</v>
      </c>
      <c r="U627" s="100">
        <v>1.165654011377996E+19</v>
      </c>
      <c r="V627" s="100"/>
    </row>
    <row r="628" spans="4:22" ht="15" customHeight="1">
      <c r="D628" s="98" t="b">
        <v>0</v>
      </c>
      <c r="E628" s="93">
        <v>1</v>
      </c>
      <c r="F628" s="91">
        <v>1</v>
      </c>
      <c r="G628" s="91" t="s">
        <v>81</v>
      </c>
      <c r="H628" s="92">
        <v>30</v>
      </c>
      <c r="I628" s="92">
        <v>0</v>
      </c>
      <c r="J628" s="92">
        <v>0</v>
      </c>
      <c r="K628" s="92">
        <v>106.425</v>
      </c>
      <c r="L628" s="92" t="s">
        <v>78</v>
      </c>
      <c r="M628" s="92" t="s">
        <v>82</v>
      </c>
      <c r="N628" s="92" t="s">
        <v>83</v>
      </c>
      <c r="O628" s="92" t="b">
        <v>0</v>
      </c>
      <c r="P628" s="92"/>
      <c r="Q628" s="92" t="s">
        <v>84</v>
      </c>
      <c r="R628" s="92" t="s">
        <v>85</v>
      </c>
      <c r="S628" s="92" t="b">
        <v>1</v>
      </c>
      <c r="T628" s="100">
        <v>1</v>
      </c>
      <c r="U628" s="100">
        <v>4.8711007149853512E+18</v>
      </c>
      <c r="V628" s="100"/>
    </row>
    <row r="629" spans="4:22" ht="15" customHeight="1">
      <c r="D629" s="98" t="b">
        <v>0</v>
      </c>
      <c r="E629" s="93">
        <v>0</v>
      </c>
      <c r="F629" s="91">
        <v>3</v>
      </c>
      <c r="G629" s="91" t="s">
        <v>74</v>
      </c>
      <c r="H629" s="92"/>
      <c r="I629" s="92">
        <v>0</v>
      </c>
      <c r="J629" s="92">
        <v>0</v>
      </c>
      <c r="K629" s="92">
        <v>14.5</v>
      </c>
      <c r="L629" s="92" t="s">
        <v>75</v>
      </c>
      <c r="M629" s="92" t="s">
        <v>76</v>
      </c>
      <c r="N629" s="92" t="s">
        <v>77</v>
      </c>
      <c r="O629" s="92" t="b">
        <v>1</v>
      </c>
      <c r="P629" s="92"/>
      <c r="Q629" s="92" t="s">
        <v>79</v>
      </c>
      <c r="R629" s="92" t="s">
        <v>80</v>
      </c>
      <c r="S629" s="92" t="b">
        <v>1</v>
      </c>
      <c r="T629" s="100">
        <v>1</v>
      </c>
      <c r="U629" s="100">
        <v>5.8140604420293396E+18</v>
      </c>
      <c r="V629" s="100"/>
    </row>
    <row r="630" spans="4:22" ht="15" customHeight="1">
      <c r="D630" s="98" t="b">
        <v>0</v>
      </c>
      <c r="E630" s="93">
        <v>1</v>
      </c>
      <c r="F630" s="91">
        <v>1</v>
      </c>
      <c r="G630" s="91" t="s">
        <v>81</v>
      </c>
      <c r="H630" s="92">
        <v>22</v>
      </c>
      <c r="I630" s="92">
        <v>0</v>
      </c>
      <c r="J630" s="92">
        <v>2</v>
      </c>
      <c r="K630" s="92">
        <v>49.5</v>
      </c>
      <c r="L630" s="92" t="s">
        <v>78</v>
      </c>
      <c r="M630" s="92" t="s">
        <v>82</v>
      </c>
      <c r="N630" s="92" t="s">
        <v>83</v>
      </c>
      <c r="O630" s="92" t="b">
        <v>0</v>
      </c>
      <c r="P630" s="92" t="s">
        <v>94</v>
      </c>
      <c r="Q630" s="92" t="s">
        <v>84</v>
      </c>
      <c r="R630" s="92" t="s">
        <v>85</v>
      </c>
      <c r="S630" s="92" t="b">
        <v>0</v>
      </c>
      <c r="T630" s="100">
        <v>0</v>
      </c>
      <c r="U630" s="100">
        <v>1.6822821035015608E+18</v>
      </c>
      <c r="V630" s="100"/>
    </row>
    <row r="631" spans="4:22" ht="15" customHeight="1">
      <c r="D631" s="98" t="b">
        <v>0</v>
      </c>
      <c r="E631" s="93">
        <v>1</v>
      </c>
      <c r="F631" s="91">
        <v>1</v>
      </c>
      <c r="G631" s="91" t="s">
        <v>81</v>
      </c>
      <c r="H631" s="92">
        <v>36</v>
      </c>
      <c r="I631" s="92">
        <v>0</v>
      </c>
      <c r="J631" s="92">
        <v>2</v>
      </c>
      <c r="K631" s="92">
        <v>71</v>
      </c>
      <c r="L631" s="92" t="s">
        <v>75</v>
      </c>
      <c r="M631" s="92" t="s">
        <v>82</v>
      </c>
      <c r="N631" s="92" t="s">
        <v>83</v>
      </c>
      <c r="O631" s="92" t="b">
        <v>0</v>
      </c>
      <c r="P631" s="92" t="s">
        <v>94</v>
      </c>
      <c r="Q631" s="92" t="s">
        <v>79</v>
      </c>
      <c r="R631" s="92" t="s">
        <v>85</v>
      </c>
      <c r="S631" s="92" t="b">
        <v>0</v>
      </c>
      <c r="T631" s="100">
        <v>0</v>
      </c>
      <c r="U631" s="100">
        <v>1.3218928159529619E+19</v>
      </c>
      <c r="V631" s="100"/>
    </row>
    <row r="632" spans="4:22" ht="15" customHeight="1">
      <c r="D632" s="98" t="b">
        <v>0</v>
      </c>
      <c r="E632" s="93">
        <v>0</v>
      </c>
      <c r="F632" s="91">
        <v>3</v>
      </c>
      <c r="G632" s="91" t="s">
        <v>81</v>
      </c>
      <c r="H632" s="92">
        <v>9</v>
      </c>
      <c r="I632" s="92">
        <v>4</v>
      </c>
      <c r="J632" s="92">
        <v>2</v>
      </c>
      <c r="K632" s="92">
        <v>31.274999999999999</v>
      </c>
      <c r="L632" s="92" t="s">
        <v>75</v>
      </c>
      <c r="M632" s="92" t="s">
        <v>76</v>
      </c>
      <c r="N632" s="92" t="s">
        <v>89</v>
      </c>
      <c r="O632" s="92" t="b">
        <v>0</v>
      </c>
      <c r="P632" s="92"/>
      <c r="Q632" s="92" t="s">
        <v>79</v>
      </c>
      <c r="R632" s="92" t="s">
        <v>80</v>
      </c>
      <c r="S632" s="92" t="b">
        <v>0</v>
      </c>
      <c r="T632" s="100">
        <v>1</v>
      </c>
      <c r="U632" s="100">
        <v>4.8416219675742259E+18</v>
      </c>
      <c r="V632" s="100"/>
    </row>
    <row r="633" spans="4:22" ht="15" customHeight="1">
      <c r="D633" s="98" t="b">
        <v>0</v>
      </c>
      <c r="E633" s="93">
        <v>0</v>
      </c>
      <c r="F633" s="91">
        <v>3</v>
      </c>
      <c r="G633" s="91" t="s">
        <v>81</v>
      </c>
      <c r="H633" s="92">
        <v>11</v>
      </c>
      <c r="I633" s="92">
        <v>4</v>
      </c>
      <c r="J633" s="92">
        <v>2</v>
      </c>
      <c r="K633" s="92">
        <v>31.274999999999999</v>
      </c>
      <c r="L633" s="92" t="s">
        <v>75</v>
      </c>
      <c r="M633" s="92" t="s">
        <v>76</v>
      </c>
      <c r="N633" s="92" t="s">
        <v>89</v>
      </c>
      <c r="O633" s="92" t="b">
        <v>0</v>
      </c>
      <c r="P633" s="92"/>
      <c r="Q633" s="92" t="s">
        <v>79</v>
      </c>
      <c r="R633" s="92" t="s">
        <v>80</v>
      </c>
      <c r="S633" s="92" t="b">
        <v>0</v>
      </c>
      <c r="T633" s="100">
        <v>1</v>
      </c>
      <c r="U633" s="100">
        <v>1.8346202960428695E+18</v>
      </c>
      <c r="V633" s="100"/>
    </row>
    <row r="634" spans="4:22" ht="15" customHeight="1">
      <c r="D634" s="98" t="b">
        <v>0</v>
      </c>
      <c r="E634" s="93">
        <v>1</v>
      </c>
      <c r="F634" s="91">
        <v>2</v>
      </c>
      <c r="G634" s="91" t="s">
        <v>74</v>
      </c>
      <c r="H634" s="92">
        <v>32</v>
      </c>
      <c r="I634" s="92">
        <v>1</v>
      </c>
      <c r="J634" s="92">
        <v>0</v>
      </c>
      <c r="K634" s="92">
        <v>26</v>
      </c>
      <c r="L634" s="92" t="s">
        <v>75</v>
      </c>
      <c r="M634" s="92" t="s">
        <v>90</v>
      </c>
      <c r="N634" s="92" t="s">
        <v>77</v>
      </c>
      <c r="O634" s="92" t="b">
        <v>1</v>
      </c>
      <c r="P634" s="92"/>
      <c r="Q634" s="92" t="s">
        <v>79</v>
      </c>
      <c r="R634" s="92" t="s">
        <v>85</v>
      </c>
      <c r="S634" s="92" t="b">
        <v>0</v>
      </c>
      <c r="T634" s="100">
        <v>1</v>
      </c>
      <c r="U634" s="100">
        <v>5.1555408450227036E+18</v>
      </c>
      <c r="V634" s="100"/>
    </row>
    <row r="635" spans="4:22" ht="15" customHeight="1">
      <c r="D635" s="98" t="b">
        <v>0</v>
      </c>
      <c r="E635" s="93">
        <v>0</v>
      </c>
      <c r="F635" s="91">
        <v>1</v>
      </c>
      <c r="G635" s="91" t="s">
        <v>74</v>
      </c>
      <c r="H635" s="92">
        <v>50</v>
      </c>
      <c r="I635" s="92">
        <v>1</v>
      </c>
      <c r="J635" s="92">
        <v>0</v>
      </c>
      <c r="K635" s="92">
        <v>106.425</v>
      </c>
      <c r="L635" s="92" t="s">
        <v>78</v>
      </c>
      <c r="M635" s="92" t="s">
        <v>82</v>
      </c>
      <c r="N635" s="92" t="s">
        <v>77</v>
      </c>
      <c r="O635" s="92" t="b">
        <v>1</v>
      </c>
      <c r="P635" s="92" t="s">
        <v>78</v>
      </c>
      <c r="Q635" s="92" t="s">
        <v>84</v>
      </c>
      <c r="R635" s="92" t="s">
        <v>80</v>
      </c>
      <c r="S635" s="92" t="b">
        <v>0</v>
      </c>
      <c r="T635" s="100">
        <v>0</v>
      </c>
      <c r="U635" s="100">
        <v>5.0829520555989463E+18</v>
      </c>
      <c r="V635" s="100"/>
    </row>
    <row r="636" spans="4:22" ht="15" customHeight="1">
      <c r="D636" s="98" t="b">
        <v>0</v>
      </c>
      <c r="E636" s="93">
        <v>0</v>
      </c>
      <c r="F636" s="91">
        <v>1</v>
      </c>
      <c r="G636" s="91" t="s">
        <v>74</v>
      </c>
      <c r="H636" s="92">
        <v>64</v>
      </c>
      <c r="I636" s="92">
        <v>0</v>
      </c>
      <c r="J636" s="92">
        <v>0</v>
      </c>
      <c r="K636" s="92">
        <v>26</v>
      </c>
      <c r="L636" s="92" t="s">
        <v>75</v>
      </c>
      <c r="M636" s="92" t="s">
        <v>82</v>
      </c>
      <c r="N636" s="92" t="s">
        <v>77</v>
      </c>
      <c r="O636" s="92" t="b">
        <v>1</v>
      </c>
      <c r="P636" s="92"/>
      <c r="Q636" s="92" t="s">
        <v>79</v>
      </c>
      <c r="R636" s="92" t="s">
        <v>80</v>
      </c>
      <c r="S636" s="92" t="b">
        <v>1</v>
      </c>
      <c r="T636" s="100">
        <v>1</v>
      </c>
      <c r="U636" s="100">
        <v>1.8927580044565023E+18</v>
      </c>
      <c r="V636" s="100"/>
    </row>
    <row r="637" spans="4:22" ht="15" customHeight="1">
      <c r="D637" s="98" t="b">
        <v>0</v>
      </c>
      <c r="E637" s="93">
        <v>1</v>
      </c>
      <c r="F637" s="91">
        <v>2</v>
      </c>
      <c r="G637" s="91" t="s">
        <v>81</v>
      </c>
      <c r="H637" s="92">
        <v>19</v>
      </c>
      <c r="I637" s="92">
        <v>1</v>
      </c>
      <c r="J637" s="92">
        <v>0</v>
      </c>
      <c r="K637" s="92">
        <v>26</v>
      </c>
      <c r="L637" s="92" t="s">
        <v>75</v>
      </c>
      <c r="M637" s="92" t="s">
        <v>90</v>
      </c>
      <c r="N637" s="92" t="s">
        <v>83</v>
      </c>
      <c r="O637" s="92" t="b">
        <v>0</v>
      </c>
      <c r="P637" s="92"/>
      <c r="Q637" s="92" t="s">
        <v>79</v>
      </c>
      <c r="R637" s="92" t="s">
        <v>85</v>
      </c>
      <c r="S637" s="92" t="b">
        <v>0</v>
      </c>
      <c r="T637" s="100">
        <v>1</v>
      </c>
      <c r="U637" s="100">
        <v>6.2905260852221824E+17</v>
      </c>
      <c r="V637" s="100"/>
    </row>
    <row r="638" spans="4:22" ht="15" customHeight="1">
      <c r="D638" s="98" t="b">
        <v>0</v>
      </c>
      <c r="E638" s="93">
        <v>1</v>
      </c>
      <c r="F638" s="91">
        <v>2</v>
      </c>
      <c r="G638" s="91" t="s">
        <v>74</v>
      </c>
      <c r="H638" s="92"/>
      <c r="I638" s="92">
        <v>0</v>
      </c>
      <c r="J638" s="92">
        <v>0</v>
      </c>
      <c r="K638" s="92">
        <v>13.862500000000001</v>
      </c>
      <c r="L638" s="92" t="s">
        <v>78</v>
      </c>
      <c r="M638" s="92" t="s">
        <v>90</v>
      </c>
      <c r="N638" s="92" t="s">
        <v>77</v>
      </c>
      <c r="O638" s="92" t="b">
        <v>1</v>
      </c>
      <c r="P638" s="92"/>
      <c r="Q638" s="92" t="s">
        <v>84</v>
      </c>
      <c r="R638" s="92" t="s">
        <v>85</v>
      </c>
      <c r="S638" s="92" t="b">
        <v>1</v>
      </c>
      <c r="T638" s="100">
        <v>1</v>
      </c>
      <c r="U638" s="100">
        <v>6.1342246837169521E+18</v>
      </c>
      <c r="V638" s="100"/>
    </row>
    <row r="639" spans="4:22" ht="15" customHeight="1">
      <c r="D639" s="98" t="b">
        <v>0</v>
      </c>
      <c r="E639" s="93">
        <v>0</v>
      </c>
      <c r="F639" s="91">
        <v>3</v>
      </c>
      <c r="G639" s="91" t="s">
        <v>74</v>
      </c>
      <c r="H639" s="92">
        <v>33</v>
      </c>
      <c r="I639" s="92">
        <v>1</v>
      </c>
      <c r="J639" s="92">
        <v>1</v>
      </c>
      <c r="K639" s="92">
        <v>20.524999999999999</v>
      </c>
      <c r="L639" s="92" t="s">
        <v>75</v>
      </c>
      <c r="M639" s="92" t="s">
        <v>76</v>
      </c>
      <c r="N639" s="92" t="s">
        <v>77</v>
      </c>
      <c r="O639" s="92" t="b">
        <v>1</v>
      </c>
      <c r="P639" s="92"/>
      <c r="Q639" s="92" t="s">
        <v>79</v>
      </c>
      <c r="R639" s="92" t="s">
        <v>80</v>
      </c>
      <c r="S639" s="92" t="b">
        <v>0</v>
      </c>
      <c r="T639" s="100">
        <v>1</v>
      </c>
      <c r="U639" s="100">
        <v>1.84172927443095E+19</v>
      </c>
      <c r="V639" s="100"/>
    </row>
    <row r="640" spans="4:22" ht="15" customHeight="1">
      <c r="D640" s="98" t="b">
        <v>0</v>
      </c>
      <c r="E640" s="93">
        <v>1</v>
      </c>
      <c r="F640" s="91">
        <v>2</v>
      </c>
      <c r="G640" s="91" t="s">
        <v>74</v>
      </c>
      <c r="H640" s="92">
        <v>8</v>
      </c>
      <c r="I640" s="92">
        <v>1</v>
      </c>
      <c r="J640" s="92">
        <v>1</v>
      </c>
      <c r="K640" s="92">
        <v>36.75</v>
      </c>
      <c r="L640" s="92" t="s">
        <v>75</v>
      </c>
      <c r="M640" s="92" t="s">
        <v>90</v>
      </c>
      <c r="N640" s="92" t="s">
        <v>89</v>
      </c>
      <c r="O640" s="92" t="b">
        <v>0</v>
      </c>
      <c r="P640" s="92"/>
      <c r="Q640" s="92" t="s">
        <v>79</v>
      </c>
      <c r="R640" s="92" t="s">
        <v>85</v>
      </c>
      <c r="S640" s="92" t="b">
        <v>0</v>
      </c>
      <c r="T640" s="100">
        <v>1</v>
      </c>
      <c r="U640" s="100">
        <v>1.7452632319102671E+19</v>
      </c>
      <c r="V640" s="100"/>
    </row>
    <row r="641" spans="4:22" ht="15" customHeight="1">
      <c r="D641" s="98" t="b">
        <v>0</v>
      </c>
      <c r="E641" s="93">
        <v>1</v>
      </c>
      <c r="F641" s="91">
        <v>1</v>
      </c>
      <c r="G641" s="91" t="s">
        <v>74</v>
      </c>
      <c r="H641" s="92">
        <v>17</v>
      </c>
      <c r="I641" s="92">
        <v>0</v>
      </c>
      <c r="J641" s="92">
        <v>2</v>
      </c>
      <c r="K641" s="92">
        <v>110.88330000000001</v>
      </c>
      <c r="L641" s="92" t="s">
        <v>78</v>
      </c>
      <c r="M641" s="92" t="s">
        <v>82</v>
      </c>
      <c r="N641" s="92" t="s">
        <v>77</v>
      </c>
      <c r="O641" s="92" t="b">
        <v>1</v>
      </c>
      <c r="P641" s="92" t="s">
        <v>78</v>
      </c>
      <c r="Q641" s="92" t="s">
        <v>84</v>
      </c>
      <c r="R641" s="92" t="s">
        <v>85</v>
      </c>
      <c r="S641" s="92" t="b">
        <v>0</v>
      </c>
      <c r="T641" s="100">
        <v>0</v>
      </c>
      <c r="U641" s="100">
        <v>1.4013693572293245E+19</v>
      </c>
      <c r="V641" s="100"/>
    </row>
    <row r="642" spans="4:22" ht="15" customHeight="1">
      <c r="D642" s="98" t="b">
        <v>0</v>
      </c>
      <c r="E642" s="93">
        <v>0</v>
      </c>
      <c r="F642" s="91">
        <v>2</v>
      </c>
      <c r="G642" s="91" t="s">
        <v>74</v>
      </c>
      <c r="H642" s="92">
        <v>27</v>
      </c>
      <c r="I642" s="92">
        <v>0</v>
      </c>
      <c r="J642" s="92">
        <v>0</v>
      </c>
      <c r="K642" s="92">
        <v>26</v>
      </c>
      <c r="L642" s="92" t="s">
        <v>75</v>
      </c>
      <c r="M642" s="92" t="s">
        <v>90</v>
      </c>
      <c r="N642" s="92" t="s">
        <v>77</v>
      </c>
      <c r="O642" s="92" t="b">
        <v>1</v>
      </c>
      <c r="P642" s="92"/>
      <c r="Q642" s="92" t="s">
        <v>79</v>
      </c>
      <c r="R642" s="92" t="s">
        <v>80</v>
      </c>
      <c r="S642" s="92" t="b">
        <v>1</v>
      </c>
      <c r="T642" s="100">
        <v>1</v>
      </c>
      <c r="U642" s="100">
        <v>1.2586510739918903E+19</v>
      </c>
      <c r="V642" s="100"/>
    </row>
    <row r="643" spans="4:22" ht="15" customHeight="1">
      <c r="D643" s="98" t="b">
        <v>0</v>
      </c>
      <c r="E643" s="93">
        <v>0</v>
      </c>
      <c r="F643" s="91">
        <v>3</v>
      </c>
      <c r="G643" s="91" t="s">
        <v>74</v>
      </c>
      <c r="H643" s="92"/>
      <c r="I643" s="92">
        <v>0</v>
      </c>
      <c r="J643" s="92">
        <v>0</v>
      </c>
      <c r="K643" s="92">
        <v>7.8292000000000002</v>
      </c>
      <c r="L643" s="92" t="s">
        <v>86</v>
      </c>
      <c r="M643" s="92" t="s">
        <v>76</v>
      </c>
      <c r="N643" s="92" t="s">
        <v>77</v>
      </c>
      <c r="O643" s="92" t="b">
        <v>1</v>
      </c>
      <c r="P643" s="92"/>
      <c r="Q643" s="92" t="s">
        <v>87</v>
      </c>
      <c r="R643" s="92" t="s">
        <v>80</v>
      </c>
      <c r="S643" s="92" t="b">
        <v>1</v>
      </c>
      <c r="T643" s="100">
        <v>1</v>
      </c>
      <c r="U643" s="100">
        <v>1.5985927238425594E+19</v>
      </c>
      <c r="V643" s="100"/>
    </row>
    <row r="644" spans="4:22" ht="15" customHeight="1">
      <c r="D644" s="98" t="b">
        <v>0</v>
      </c>
      <c r="E644" s="93">
        <v>1</v>
      </c>
      <c r="F644" s="91">
        <v>3</v>
      </c>
      <c r="G644" s="91" t="s">
        <v>74</v>
      </c>
      <c r="H644" s="92">
        <v>22</v>
      </c>
      <c r="I644" s="92">
        <v>0</v>
      </c>
      <c r="J644" s="92">
        <v>0</v>
      </c>
      <c r="K644" s="92">
        <v>7.2249999999999996</v>
      </c>
      <c r="L644" s="92" t="s">
        <v>78</v>
      </c>
      <c r="M644" s="92" t="s">
        <v>76</v>
      </c>
      <c r="N644" s="92" t="s">
        <v>77</v>
      </c>
      <c r="O644" s="92" t="b">
        <v>1</v>
      </c>
      <c r="P644" s="92"/>
      <c r="Q644" s="92" t="s">
        <v>84</v>
      </c>
      <c r="R644" s="92" t="s">
        <v>85</v>
      </c>
      <c r="S644" s="92" t="b">
        <v>1</v>
      </c>
      <c r="T644" s="100">
        <v>1</v>
      </c>
      <c r="U644" s="100">
        <v>1.0310136447358583E+19</v>
      </c>
      <c r="V644" s="100"/>
    </row>
    <row r="645" spans="4:22" ht="15" customHeight="1">
      <c r="D645" s="98" t="b">
        <v>0</v>
      </c>
      <c r="E645" s="93">
        <v>1</v>
      </c>
      <c r="F645" s="91">
        <v>3</v>
      </c>
      <c r="G645" s="91" t="s">
        <v>81</v>
      </c>
      <c r="H645" s="92">
        <v>22</v>
      </c>
      <c r="I645" s="92">
        <v>0</v>
      </c>
      <c r="J645" s="92">
        <v>0</v>
      </c>
      <c r="K645" s="92">
        <v>7.7750000000000004</v>
      </c>
      <c r="L645" s="92" t="s">
        <v>75</v>
      </c>
      <c r="M645" s="92" t="s">
        <v>76</v>
      </c>
      <c r="N645" s="92" t="s">
        <v>83</v>
      </c>
      <c r="O645" s="92" t="b">
        <v>0</v>
      </c>
      <c r="P645" s="92"/>
      <c r="Q645" s="92" t="s">
        <v>79</v>
      </c>
      <c r="R645" s="92" t="s">
        <v>85</v>
      </c>
      <c r="S645" s="92" t="b">
        <v>1</v>
      </c>
      <c r="T645" s="100">
        <v>1</v>
      </c>
      <c r="U645" s="100">
        <v>1.1452766230983043E+19</v>
      </c>
      <c r="V645" s="100"/>
    </row>
    <row r="646" spans="4:22" ht="15" customHeight="1">
      <c r="D646" s="98" t="b">
        <v>0</v>
      </c>
      <c r="E646" s="93">
        <v>0</v>
      </c>
      <c r="F646" s="91">
        <v>1</v>
      </c>
      <c r="G646" s="91" t="s">
        <v>74</v>
      </c>
      <c r="H646" s="92">
        <v>62</v>
      </c>
      <c r="I646" s="92">
        <v>0</v>
      </c>
      <c r="J646" s="92">
        <v>0</v>
      </c>
      <c r="K646" s="92">
        <v>26.55</v>
      </c>
      <c r="L646" s="92" t="s">
        <v>75</v>
      </c>
      <c r="M646" s="92" t="s">
        <v>82</v>
      </c>
      <c r="N646" s="92" t="s">
        <v>77</v>
      </c>
      <c r="O646" s="92" t="b">
        <v>1</v>
      </c>
      <c r="P646" s="92"/>
      <c r="Q646" s="92" t="s">
        <v>79</v>
      </c>
      <c r="R646" s="92" t="s">
        <v>80</v>
      </c>
      <c r="S646" s="92" t="b">
        <v>1</v>
      </c>
      <c r="T646" s="100">
        <v>1</v>
      </c>
      <c r="U646" s="100">
        <v>9.8199396589726577E+18</v>
      </c>
      <c r="V646" s="100"/>
    </row>
    <row r="647" spans="4:22" ht="15" customHeight="1">
      <c r="D647" s="98" t="b">
        <v>0</v>
      </c>
      <c r="E647" s="93">
        <v>1</v>
      </c>
      <c r="F647" s="91">
        <v>1</v>
      </c>
      <c r="G647" s="91" t="s">
        <v>81</v>
      </c>
      <c r="H647" s="92">
        <v>48</v>
      </c>
      <c r="I647" s="92">
        <v>1</v>
      </c>
      <c r="J647" s="92">
        <v>0</v>
      </c>
      <c r="K647" s="92">
        <v>39.6</v>
      </c>
      <c r="L647" s="92" t="s">
        <v>78</v>
      </c>
      <c r="M647" s="92" t="s">
        <v>82</v>
      </c>
      <c r="N647" s="92" t="s">
        <v>83</v>
      </c>
      <c r="O647" s="92" t="b">
        <v>0</v>
      </c>
      <c r="P647" s="92" t="s">
        <v>93</v>
      </c>
      <c r="Q647" s="92" t="s">
        <v>84</v>
      </c>
      <c r="R647" s="92" t="s">
        <v>85</v>
      </c>
      <c r="S647" s="92" t="b">
        <v>0</v>
      </c>
      <c r="T647" s="100">
        <v>0</v>
      </c>
      <c r="U647" s="100">
        <v>3.0632177609255803E+18</v>
      </c>
      <c r="V647" s="100"/>
    </row>
    <row r="648" spans="4:22" ht="15" customHeight="1">
      <c r="D648" s="98" t="b">
        <v>0</v>
      </c>
      <c r="E648" s="93">
        <v>0</v>
      </c>
      <c r="F648" s="91">
        <v>1</v>
      </c>
      <c r="G648" s="91" t="s">
        <v>74</v>
      </c>
      <c r="H648" s="92"/>
      <c r="I648" s="92">
        <v>0</v>
      </c>
      <c r="J648" s="92">
        <v>0</v>
      </c>
      <c r="K648" s="92">
        <v>227.52500000000001</v>
      </c>
      <c r="L648" s="92" t="s">
        <v>78</v>
      </c>
      <c r="M648" s="92" t="s">
        <v>82</v>
      </c>
      <c r="N648" s="92" t="s">
        <v>77</v>
      </c>
      <c r="O648" s="92" t="b">
        <v>1</v>
      </c>
      <c r="P648" s="92"/>
      <c r="Q648" s="92" t="s">
        <v>84</v>
      </c>
      <c r="R648" s="92" t="s">
        <v>80</v>
      </c>
      <c r="S648" s="92" t="b">
        <v>1</v>
      </c>
      <c r="T648" s="100">
        <v>1</v>
      </c>
      <c r="U648" s="100">
        <v>2.8893930017080724E+18</v>
      </c>
      <c r="V648" s="100"/>
    </row>
    <row r="649" spans="4:22" ht="15" customHeight="1">
      <c r="D649" s="98" t="b">
        <v>0</v>
      </c>
      <c r="E649" s="93">
        <v>1</v>
      </c>
      <c r="F649" s="91">
        <v>1</v>
      </c>
      <c r="G649" s="91" t="s">
        <v>81</v>
      </c>
      <c r="H649" s="92">
        <v>39</v>
      </c>
      <c r="I649" s="92">
        <v>1</v>
      </c>
      <c r="J649" s="92">
        <v>1</v>
      </c>
      <c r="K649" s="92">
        <v>79.650000000000006</v>
      </c>
      <c r="L649" s="92" t="s">
        <v>75</v>
      </c>
      <c r="M649" s="92" t="s">
        <v>82</v>
      </c>
      <c r="N649" s="92" t="s">
        <v>83</v>
      </c>
      <c r="O649" s="92" t="b">
        <v>0</v>
      </c>
      <c r="P649" s="92" t="s">
        <v>88</v>
      </c>
      <c r="Q649" s="92" t="s">
        <v>79</v>
      </c>
      <c r="R649" s="92" t="s">
        <v>85</v>
      </c>
      <c r="S649" s="92" t="b">
        <v>0</v>
      </c>
      <c r="T649" s="100">
        <v>0</v>
      </c>
      <c r="U649" s="100">
        <v>1.2210855703193936E+19</v>
      </c>
      <c r="V649" s="100"/>
    </row>
    <row r="650" spans="4:22" ht="15" customHeight="1">
      <c r="D650" s="98" t="b">
        <v>0</v>
      </c>
      <c r="E650" s="93">
        <v>1</v>
      </c>
      <c r="F650" s="91">
        <v>3</v>
      </c>
      <c r="G650" s="91" t="s">
        <v>81</v>
      </c>
      <c r="H650" s="92">
        <v>36</v>
      </c>
      <c r="I650" s="92">
        <v>1</v>
      </c>
      <c r="J650" s="92">
        <v>0</v>
      </c>
      <c r="K650" s="92">
        <v>17.399999999999999</v>
      </c>
      <c r="L650" s="92" t="s">
        <v>75</v>
      </c>
      <c r="M650" s="92" t="s">
        <v>76</v>
      </c>
      <c r="N650" s="92" t="s">
        <v>83</v>
      </c>
      <c r="O650" s="92" t="b">
        <v>0</v>
      </c>
      <c r="P650" s="92"/>
      <c r="Q650" s="92" t="s">
        <v>79</v>
      </c>
      <c r="R650" s="92" t="s">
        <v>85</v>
      </c>
      <c r="S650" s="92" t="b">
        <v>0</v>
      </c>
      <c r="T650" s="100">
        <v>1</v>
      </c>
      <c r="U650" s="100">
        <v>2.3635931223532733E+18</v>
      </c>
      <c r="V650" s="100"/>
    </row>
    <row r="651" spans="4:22" ht="15" customHeight="1">
      <c r="D651" s="98" t="b">
        <v>0</v>
      </c>
      <c r="E651" s="93">
        <v>0</v>
      </c>
      <c r="F651" s="91">
        <v>3</v>
      </c>
      <c r="G651" s="91" t="s">
        <v>74</v>
      </c>
      <c r="H651" s="92"/>
      <c r="I651" s="92">
        <v>0</v>
      </c>
      <c r="J651" s="92">
        <v>0</v>
      </c>
      <c r="K651" s="92">
        <v>7.75</v>
      </c>
      <c r="L651" s="92" t="s">
        <v>86</v>
      </c>
      <c r="M651" s="92" t="s">
        <v>76</v>
      </c>
      <c r="N651" s="92" t="s">
        <v>77</v>
      </c>
      <c r="O651" s="92" t="b">
        <v>1</v>
      </c>
      <c r="P651" s="92"/>
      <c r="Q651" s="92" t="s">
        <v>87</v>
      </c>
      <c r="R651" s="92" t="s">
        <v>80</v>
      </c>
      <c r="S651" s="92" t="b">
        <v>1</v>
      </c>
      <c r="T651" s="100">
        <v>1</v>
      </c>
      <c r="U651" s="100">
        <v>1.8659124076202463E+18</v>
      </c>
      <c r="V651" s="100"/>
    </row>
    <row r="652" spans="4:22" ht="15" customHeight="1">
      <c r="D652" s="98" t="b">
        <v>0</v>
      </c>
      <c r="E652" s="93">
        <v>0</v>
      </c>
      <c r="F652" s="91">
        <v>3</v>
      </c>
      <c r="G652" s="91" t="s">
        <v>74</v>
      </c>
      <c r="H652" s="92">
        <v>40</v>
      </c>
      <c r="I652" s="92">
        <v>0</v>
      </c>
      <c r="J652" s="92">
        <v>0</v>
      </c>
      <c r="K652" s="92">
        <v>7.8958000000000004</v>
      </c>
      <c r="L652" s="92" t="s">
        <v>75</v>
      </c>
      <c r="M652" s="92" t="s">
        <v>76</v>
      </c>
      <c r="N652" s="92" t="s">
        <v>77</v>
      </c>
      <c r="O652" s="92" t="b">
        <v>1</v>
      </c>
      <c r="P652" s="92"/>
      <c r="Q652" s="92" t="s">
        <v>79</v>
      </c>
      <c r="R652" s="92" t="s">
        <v>80</v>
      </c>
      <c r="S652" s="92" t="b">
        <v>1</v>
      </c>
      <c r="T652" s="100">
        <v>1</v>
      </c>
      <c r="U652" s="100">
        <v>1.3273757065383344E+19</v>
      </c>
      <c r="V652" s="100"/>
    </row>
    <row r="653" spans="4:22" ht="15" customHeight="1">
      <c r="D653" s="98" t="b">
        <v>0</v>
      </c>
      <c r="E653" s="93">
        <v>0</v>
      </c>
      <c r="F653" s="91">
        <v>2</v>
      </c>
      <c r="G653" s="91" t="s">
        <v>74</v>
      </c>
      <c r="H653" s="92">
        <v>28</v>
      </c>
      <c r="I653" s="92">
        <v>0</v>
      </c>
      <c r="J653" s="92">
        <v>0</v>
      </c>
      <c r="K653" s="92">
        <v>13.5</v>
      </c>
      <c r="L653" s="92" t="s">
        <v>75</v>
      </c>
      <c r="M653" s="92" t="s">
        <v>90</v>
      </c>
      <c r="N653" s="92" t="s">
        <v>77</v>
      </c>
      <c r="O653" s="92" t="b">
        <v>1</v>
      </c>
      <c r="P653" s="92"/>
      <c r="Q653" s="92" t="s">
        <v>79</v>
      </c>
      <c r="R653" s="92" t="s">
        <v>80</v>
      </c>
      <c r="S653" s="92" t="b">
        <v>1</v>
      </c>
      <c r="T653" s="100">
        <v>1</v>
      </c>
      <c r="U653" s="100">
        <v>6.5127998566831708E+18</v>
      </c>
      <c r="V653" s="100"/>
    </row>
    <row r="654" spans="4:22" ht="15" customHeight="1">
      <c r="D654" s="98" t="b">
        <v>0</v>
      </c>
      <c r="E654" s="93">
        <v>0</v>
      </c>
      <c r="F654" s="91">
        <v>3</v>
      </c>
      <c r="G654" s="91" t="s">
        <v>74</v>
      </c>
      <c r="H654" s="92"/>
      <c r="I654" s="92">
        <v>0</v>
      </c>
      <c r="J654" s="92">
        <v>0</v>
      </c>
      <c r="K654" s="92">
        <v>8.0500000000000007</v>
      </c>
      <c r="L654" s="92" t="s">
        <v>75</v>
      </c>
      <c r="M654" s="92" t="s">
        <v>76</v>
      </c>
      <c r="N654" s="92" t="s">
        <v>77</v>
      </c>
      <c r="O654" s="92" t="b">
        <v>1</v>
      </c>
      <c r="P654" s="92"/>
      <c r="Q654" s="92" t="s">
        <v>79</v>
      </c>
      <c r="R654" s="92" t="s">
        <v>80</v>
      </c>
      <c r="S654" s="92" t="b">
        <v>1</v>
      </c>
      <c r="T654" s="100">
        <v>1</v>
      </c>
      <c r="U654" s="100">
        <v>1.036563458869572E+19</v>
      </c>
      <c r="V654" s="100"/>
    </row>
    <row r="655" spans="4:22" ht="15" customHeight="1">
      <c r="D655" s="98" t="b">
        <v>0</v>
      </c>
      <c r="E655" s="93">
        <v>0</v>
      </c>
      <c r="F655" s="91">
        <v>3</v>
      </c>
      <c r="G655" s="91" t="s">
        <v>81</v>
      </c>
      <c r="H655" s="92"/>
      <c r="I655" s="92">
        <v>0</v>
      </c>
      <c r="J655" s="92">
        <v>0</v>
      </c>
      <c r="K655" s="92">
        <v>8.0500000000000007</v>
      </c>
      <c r="L655" s="92" t="s">
        <v>75</v>
      </c>
      <c r="M655" s="92" t="s">
        <v>76</v>
      </c>
      <c r="N655" s="92" t="s">
        <v>83</v>
      </c>
      <c r="O655" s="92" t="b">
        <v>0</v>
      </c>
      <c r="P655" s="92"/>
      <c r="Q655" s="92" t="s">
        <v>79</v>
      </c>
      <c r="R655" s="92" t="s">
        <v>80</v>
      </c>
      <c r="S655" s="92" t="b">
        <v>1</v>
      </c>
      <c r="T655" s="100">
        <v>1</v>
      </c>
      <c r="U655" s="100">
        <v>3.7790314122023235E+18</v>
      </c>
      <c r="V655" s="100"/>
    </row>
    <row r="656" spans="4:22" ht="15" customHeight="1">
      <c r="D656" s="98" t="b">
        <v>0</v>
      </c>
      <c r="E656" s="93">
        <v>0</v>
      </c>
      <c r="F656" s="91">
        <v>3</v>
      </c>
      <c r="G656" s="91" t="s">
        <v>74</v>
      </c>
      <c r="H656" s="92">
        <v>24</v>
      </c>
      <c r="I656" s="92">
        <v>2</v>
      </c>
      <c r="J656" s="92">
        <v>0</v>
      </c>
      <c r="K656" s="92">
        <v>24.15</v>
      </c>
      <c r="L656" s="92" t="s">
        <v>75</v>
      </c>
      <c r="M656" s="92" t="s">
        <v>76</v>
      </c>
      <c r="N656" s="92" t="s">
        <v>77</v>
      </c>
      <c r="O656" s="92" t="b">
        <v>1</v>
      </c>
      <c r="P656" s="92"/>
      <c r="Q656" s="92" t="s">
        <v>79</v>
      </c>
      <c r="R656" s="92" t="s">
        <v>80</v>
      </c>
      <c r="S656" s="92" t="b">
        <v>0</v>
      </c>
      <c r="T656" s="100">
        <v>1</v>
      </c>
      <c r="U656" s="100">
        <v>4.5717596929835945E+18</v>
      </c>
      <c r="V656" s="100"/>
    </row>
    <row r="657" spans="4:22" ht="15" customHeight="1">
      <c r="D657" s="98" t="b">
        <v>0</v>
      </c>
      <c r="E657" s="93">
        <v>0</v>
      </c>
      <c r="F657" s="91">
        <v>3</v>
      </c>
      <c r="G657" s="91" t="s">
        <v>74</v>
      </c>
      <c r="H657" s="92">
        <v>19</v>
      </c>
      <c r="I657" s="92">
        <v>0</v>
      </c>
      <c r="J657" s="92">
        <v>0</v>
      </c>
      <c r="K657" s="92">
        <v>7.8958000000000004</v>
      </c>
      <c r="L657" s="92" t="s">
        <v>75</v>
      </c>
      <c r="M657" s="92" t="s">
        <v>76</v>
      </c>
      <c r="N657" s="92" t="s">
        <v>77</v>
      </c>
      <c r="O657" s="92" t="b">
        <v>1</v>
      </c>
      <c r="P657" s="92"/>
      <c r="Q657" s="92" t="s">
        <v>79</v>
      </c>
      <c r="R657" s="92" t="s">
        <v>80</v>
      </c>
      <c r="S657" s="92" t="b">
        <v>1</v>
      </c>
      <c r="T657" s="100">
        <v>1</v>
      </c>
      <c r="U657" s="100">
        <v>1.1941823310480474E+19</v>
      </c>
      <c r="V657" s="100"/>
    </row>
    <row r="658" spans="4:22" ht="15" customHeight="1">
      <c r="D658" s="98" t="b">
        <v>0</v>
      </c>
      <c r="E658" s="93">
        <v>0</v>
      </c>
      <c r="F658" s="91">
        <v>3</v>
      </c>
      <c r="G658" s="91" t="s">
        <v>81</v>
      </c>
      <c r="H658" s="92">
        <v>29</v>
      </c>
      <c r="I658" s="92">
        <v>0</v>
      </c>
      <c r="J658" s="92">
        <v>4</v>
      </c>
      <c r="K658" s="92">
        <v>21.074999999999999</v>
      </c>
      <c r="L658" s="92" t="s">
        <v>75</v>
      </c>
      <c r="M658" s="92" t="s">
        <v>76</v>
      </c>
      <c r="N658" s="92" t="s">
        <v>83</v>
      </c>
      <c r="O658" s="92" t="b">
        <v>0</v>
      </c>
      <c r="P658" s="92"/>
      <c r="Q658" s="92" t="s">
        <v>79</v>
      </c>
      <c r="R658" s="92" t="s">
        <v>80</v>
      </c>
      <c r="S658" s="92" t="b">
        <v>0</v>
      </c>
      <c r="T658" s="100">
        <v>1</v>
      </c>
      <c r="U658" s="100">
        <v>4.9491068683076495E+18</v>
      </c>
      <c r="V658" s="100"/>
    </row>
    <row r="659" spans="4:22" ht="15" customHeight="1">
      <c r="D659" s="98" t="b">
        <v>0</v>
      </c>
      <c r="E659" s="93">
        <v>0</v>
      </c>
      <c r="F659" s="91">
        <v>3</v>
      </c>
      <c r="G659" s="91" t="s">
        <v>74</v>
      </c>
      <c r="H659" s="92"/>
      <c r="I659" s="92">
        <v>0</v>
      </c>
      <c r="J659" s="92">
        <v>0</v>
      </c>
      <c r="K659" s="92">
        <v>7.2291999999999996</v>
      </c>
      <c r="L659" s="92" t="s">
        <v>78</v>
      </c>
      <c r="M659" s="92" t="s">
        <v>76</v>
      </c>
      <c r="N659" s="92" t="s">
        <v>77</v>
      </c>
      <c r="O659" s="92" t="b">
        <v>1</v>
      </c>
      <c r="P659" s="92"/>
      <c r="Q659" s="92" t="s">
        <v>84</v>
      </c>
      <c r="R659" s="92" t="s">
        <v>80</v>
      </c>
      <c r="S659" s="92" t="b">
        <v>1</v>
      </c>
      <c r="T659" s="100">
        <v>1</v>
      </c>
      <c r="U659" s="100">
        <v>4.8387927669229558E+18</v>
      </c>
      <c r="V659" s="100"/>
    </row>
    <row r="660" spans="4:22" ht="15" customHeight="1">
      <c r="D660" s="98" t="b">
        <v>0</v>
      </c>
      <c r="E660" s="93">
        <v>1</v>
      </c>
      <c r="F660" s="91">
        <v>3</v>
      </c>
      <c r="G660" s="91" t="s">
        <v>74</v>
      </c>
      <c r="H660" s="92">
        <v>32</v>
      </c>
      <c r="I660" s="92">
        <v>0</v>
      </c>
      <c r="J660" s="92">
        <v>0</v>
      </c>
      <c r="K660" s="92">
        <v>7.8541999999999996</v>
      </c>
      <c r="L660" s="92" t="s">
        <v>75</v>
      </c>
      <c r="M660" s="92" t="s">
        <v>76</v>
      </c>
      <c r="N660" s="92" t="s">
        <v>77</v>
      </c>
      <c r="O660" s="92" t="b">
        <v>1</v>
      </c>
      <c r="P660" s="92"/>
      <c r="Q660" s="92" t="s">
        <v>79</v>
      </c>
      <c r="R660" s="92" t="s">
        <v>85</v>
      </c>
      <c r="S660" s="92" t="b">
        <v>1</v>
      </c>
      <c r="T660" s="100">
        <v>1</v>
      </c>
      <c r="U660" s="100">
        <v>1.1902915883296676E+19</v>
      </c>
      <c r="V660" s="100"/>
    </row>
    <row r="661" spans="4:22" ht="15" customHeight="1">
      <c r="D661" s="98" t="b">
        <v>0</v>
      </c>
      <c r="E661" s="93">
        <v>1</v>
      </c>
      <c r="F661" s="91">
        <v>2</v>
      </c>
      <c r="G661" s="91" t="s">
        <v>74</v>
      </c>
      <c r="H661" s="92">
        <v>62</v>
      </c>
      <c r="I661" s="92">
        <v>0</v>
      </c>
      <c r="J661" s="92">
        <v>0</v>
      </c>
      <c r="K661" s="92">
        <v>10.5</v>
      </c>
      <c r="L661" s="92" t="s">
        <v>75</v>
      </c>
      <c r="M661" s="92" t="s">
        <v>90</v>
      </c>
      <c r="N661" s="92" t="s">
        <v>77</v>
      </c>
      <c r="O661" s="92" t="b">
        <v>1</v>
      </c>
      <c r="P661" s="92"/>
      <c r="Q661" s="92" t="s">
        <v>79</v>
      </c>
      <c r="R661" s="92" t="s">
        <v>85</v>
      </c>
      <c r="S661" s="92" t="b">
        <v>1</v>
      </c>
      <c r="T661" s="100">
        <v>1</v>
      </c>
      <c r="U661" s="100">
        <v>8.02429192738547E+18</v>
      </c>
      <c r="V661" s="100"/>
    </row>
    <row r="662" spans="4:22" ht="15" customHeight="1">
      <c r="D662" s="98" t="b">
        <v>0</v>
      </c>
      <c r="E662" s="93">
        <v>1</v>
      </c>
      <c r="F662" s="91">
        <v>1</v>
      </c>
      <c r="G662" s="91" t="s">
        <v>81</v>
      </c>
      <c r="H662" s="92">
        <v>53</v>
      </c>
      <c r="I662" s="92">
        <v>2</v>
      </c>
      <c r="J662" s="92">
        <v>0</v>
      </c>
      <c r="K662" s="92">
        <v>51.479199999999999</v>
      </c>
      <c r="L662" s="92" t="s">
        <v>75</v>
      </c>
      <c r="M662" s="92" t="s">
        <v>82</v>
      </c>
      <c r="N662" s="92" t="s">
        <v>83</v>
      </c>
      <c r="O662" s="92" t="b">
        <v>0</v>
      </c>
      <c r="P662" s="92" t="s">
        <v>78</v>
      </c>
      <c r="Q662" s="92" t="s">
        <v>79</v>
      </c>
      <c r="R662" s="92" t="s">
        <v>85</v>
      </c>
      <c r="S662" s="92" t="b">
        <v>0</v>
      </c>
      <c r="T662" s="100">
        <v>0</v>
      </c>
      <c r="U662" s="100">
        <v>4.4283214719363738E+18</v>
      </c>
      <c r="V662" s="100"/>
    </row>
    <row r="663" spans="4:22" ht="15" customHeight="1">
      <c r="D663" s="98" t="b">
        <v>0</v>
      </c>
      <c r="E663" s="93">
        <v>1</v>
      </c>
      <c r="F663" s="91">
        <v>1</v>
      </c>
      <c r="G663" s="91" t="s">
        <v>74</v>
      </c>
      <c r="H663" s="92">
        <v>36</v>
      </c>
      <c r="I663" s="92">
        <v>0</v>
      </c>
      <c r="J663" s="92">
        <v>0</v>
      </c>
      <c r="K663" s="92">
        <v>26.387499999999999</v>
      </c>
      <c r="L663" s="92" t="s">
        <v>75</v>
      </c>
      <c r="M663" s="92" t="s">
        <v>82</v>
      </c>
      <c r="N663" s="92" t="s">
        <v>77</v>
      </c>
      <c r="O663" s="92" t="b">
        <v>1</v>
      </c>
      <c r="P663" s="92" t="s">
        <v>88</v>
      </c>
      <c r="Q663" s="92" t="s">
        <v>79</v>
      </c>
      <c r="R663" s="92" t="s">
        <v>85</v>
      </c>
      <c r="S663" s="92" t="b">
        <v>1</v>
      </c>
      <c r="T663" s="100">
        <v>0</v>
      </c>
      <c r="U663" s="100">
        <v>7.3846676045940562E+18</v>
      </c>
      <c r="V663" s="100"/>
    </row>
    <row r="664" spans="4:22" ht="15" customHeight="1">
      <c r="D664" s="98" t="b">
        <v>0</v>
      </c>
      <c r="E664" s="93">
        <v>1</v>
      </c>
      <c r="F664" s="91">
        <v>3</v>
      </c>
      <c r="G664" s="91" t="s">
        <v>81</v>
      </c>
      <c r="H664" s="92"/>
      <c r="I664" s="92">
        <v>0</v>
      </c>
      <c r="J664" s="92">
        <v>0</v>
      </c>
      <c r="K664" s="92">
        <v>7.75</v>
      </c>
      <c r="L664" s="92" t="s">
        <v>86</v>
      </c>
      <c r="M664" s="92" t="s">
        <v>76</v>
      </c>
      <c r="N664" s="92" t="s">
        <v>83</v>
      </c>
      <c r="O664" s="92" t="b">
        <v>0</v>
      </c>
      <c r="P664" s="92"/>
      <c r="Q664" s="92" t="s">
        <v>87</v>
      </c>
      <c r="R664" s="92" t="s">
        <v>85</v>
      </c>
      <c r="S664" s="92" t="b">
        <v>1</v>
      </c>
      <c r="T664" s="100">
        <v>1</v>
      </c>
      <c r="U664" s="100">
        <v>9.0824774226500116E+18</v>
      </c>
      <c r="V664" s="100"/>
    </row>
    <row r="665" spans="4:22" ht="15" customHeight="1">
      <c r="D665" s="98" t="b">
        <v>0</v>
      </c>
      <c r="E665" s="93">
        <v>0</v>
      </c>
      <c r="F665" s="91">
        <v>3</v>
      </c>
      <c r="G665" s="91" t="s">
        <v>74</v>
      </c>
      <c r="H665" s="92">
        <v>16</v>
      </c>
      <c r="I665" s="92">
        <v>0</v>
      </c>
      <c r="J665" s="92">
        <v>0</v>
      </c>
      <c r="K665" s="92">
        <v>8.0500000000000007</v>
      </c>
      <c r="L665" s="92" t="s">
        <v>75</v>
      </c>
      <c r="M665" s="92" t="s">
        <v>76</v>
      </c>
      <c r="N665" s="92" t="s">
        <v>77</v>
      </c>
      <c r="O665" s="92" t="b">
        <v>1</v>
      </c>
      <c r="P665" s="92"/>
      <c r="Q665" s="92" t="s">
        <v>79</v>
      </c>
      <c r="R665" s="92" t="s">
        <v>80</v>
      </c>
      <c r="S665" s="92" t="b">
        <v>1</v>
      </c>
      <c r="T665" s="100">
        <v>1</v>
      </c>
      <c r="U665" s="100">
        <v>1.4299692159993364E+19</v>
      </c>
      <c r="V665" s="100"/>
    </row>
    <row r="666" spans="4:22" ht="15" customHeight="1">
      <c r="D666" s="98" t="b">
        <v>0</v>
      </c>
      <c r="E666" s="93">
        <v>0</v>
      </c>
      <c r="F666" s="91">
        <v>3</v>
      </c>
      <c r="G666" s="91" t="s">
        <v>74</v>
      </c>
      <c r="H666" s="92">
        <v>19</v>
      </c>
      <c r="I666" s="92">
        <v>0</v>
      </c>
      <c r="J666" s="92">
        <v>0</v>
      </c>
      <c r="K666" s="92">
        <v>14.5</v>
      </c>
      <c r="L666" s="92" t="s">
        <v>75</v>
      </c>
      <c r="M666" s="92" t="s">
        <v>76</v>
      </c>
      <c r="N666" s="92" t="s">
        <v>77</v>
      </c>
      <c r="O666" s="92" t="b">
        <v>1</v>
      </c>
      <c r="P666" s="92"/>
      <c r="Q666" s="92" t="s">
        <v>79</v>
      </c>
      <c r="R666" s="92" t="s">
        <v>80</v>
      </c>
      <c r="S666" s="92" t="b">
        <v>1</v>
      </c>
      <c r="T666" s="100">
        <v>1</v>
      </c>
      <c r="U666" s="100">
        <v>1.6896142200938349E+19</v>
      </c>
      <c r="V666" s="100"/>
    </row>
    <row r="667" spans="4:22" ht="15" customHeight="1">
      <c r="D667" s="98" t="b">
        <v>0</v>
      </c>
      <c r="E667" s="93">
        <v>1</v>
      </c>
      <c r="F667" s="91">
        <v>2</v>
      </c>
      <c r="G667" s="91" t="s">
        <v>81</v>
      </c>
      <c r="H667" s="92">
        <v>34</v>
      </c>
      <c r="I667" s="92">
        <v>0</v>
      </c>
      <c r="J667" s="92">
        <v>0</v>
      </c>
      <c r="K667" s="92">
        <v>13</v>
      </c>
      <c r="L667" s="92" t="s">
        <v>75</v>
      </c>
      <c r="M667" s="92" t="s">
        <v>90</v>
      </c>
      <c r="N667" s="92" t="s">
        <v>83</v>
      </c>
      <c r="O667" s="92" t="b">
        <v>0</v>
      </c>
      <c r="P667" s="92"/>
      <c r="Q667" s="92" t="s">
        <v>79</v>
      </c>
      <c r="R667" s="92" t="s">
        <v>85</v>
      </c>
      <c r="S667" s="92" t="b">
        <v>1</v>
      </c>
      <c r="T667" s="100">
        <v>1</v>
      </c>
      <c r="U667" s="100">
        <v>7.025231097794389E+18</v>
      </c>
      <c r="V667" s="100"/>
    </row>
    <row r="668" spans="4:22" ht="15" customHeight="1">
      <c r="D668" s="98" t="b">
        <v>0</v>
      </c>
      <c r="E668" s="93">
        <v>1</v>
      </c>
      <c r="F668" s="91">
        <v>1</v>
      </c>
      <c r="G668" s="91" t="s">
        <v>81</v>
      </c>
      <c r="H668" s="92">
        <v>39</v>
      </c>
      <c r="I668" s="92">
        <v>1</v>
      </c>
      <c r="J668" s="92">
        <v>0</v>
      </c>
      <c r="K668" s="92">
        <v>55.9</v>
      </c>
      <c r="L668" s="92" t="s">
        <v>75</v>
      </c>
      <c r="M668" s="92" t="s">
        <v>82</v>
      </c>
      <c r="N668" s="92" t="s">
        <v>83</v>
      </c>
      <c r="O668" s="92" t="b">
        <v>0</v>
      </c>
      <c r="P668" s="92" t="s">
        <v>88</v>
      </c>
      <c r="Q668" s="92" t="s">
        <v>79</v>
      </c>
      <c r="R668" s="92" t="s">
        <v>85</v>
      </c>
      <c r="S668" s="92" t="b">
        <v>0</v>
      </c>
      <c r="T668" s="100">
        <v>0</v>
      </c>
      <c r="U668" s="100">
        <v>7.3272474858436372E+18</v>
      </c>
      <c r="V668" s="100"/>
    </row>
    <row r="669" spans="4:22" ht="15" customHeight="1">
      <c r="D669" s="98" t="b">
        <v>0</v>
      </c>
      <c r="E669" s="93">
        <v>0</v>
      </c>
      <c r="F669" s="91">
        <v>3</v>
      </c>
      <c r="G669" s="91" t="s">
        <v>81</v>
      </c>
      <c r="H669" s="92"/>
      <c r="I669" s="92">
        <v>1</v>
      </c>
      <c r="J669" s="92">
        <v>0</v>
      </c>
      <c r="K669" s="92">
        <v>14.458299999999999</v>
      </c>
      <c r="L669" s="92" t="s">
        <v>78</v>
      </c>
      <c r="M669" s="92" t="s">
        <v>76</v>
      </c>
      <c r="N669" s="92" t="s">
        <v>83</v>
      </c>
      <c r="O669" s="92" t="b">
        <v>0</v>
      </c>
      <c r="P669" s="92"/>
      <c r="Q669" s="92" t="s">
        <v>84</v>
      </c>
      <c r="R669" s="92" t="s">
        <v>80</v>
      </c>
      <c r="S669" s="92" t="b">
        <v>0</v>
      </c>
      <c r="T669" s="100">
        <v>1</v>
      </c>
      <c r="U669" s="100">
        <v>7.4493189489203476E+18</v>
      </c>
      <c r="V669" s="100"/>
    </row>
    <row r="670" spans="4:22" ht="15" customHeight="1">
      <c r="D670" s="98" t="b">
        <v>0</v>
      </c>
      <c r="E670" s="93">
        <v>1</v>
      </c>
      <c r="F670" s="91">
        <v>3</v>
      </c>
      <c r="G670" s="91" t="s">
        <v>74</v>
      </c>
      <c r="H670" s="92">
        <v>32</v>
      </c>
      <c r="I670" s="92">
        <v>0</v>
      </c>
      <c r="J670" s="92">
        <v>0</v>
      </c>
      <c r="K670" s="92">
        <v>7.9249999999999998</v>
      </c>
      <c r="L670" s="92" t="s">
        <v>75</v>
      </c>
      <c r="M670" s="92" t="s">
        <v>76</v>
      </c>
      <c r="N670" s="92" t="s">
        <v>77</v>
      </c>
      <c r="O670" s="92" t="b">
        <v>1</v>
      </c>
      <c r="P670" s="92"/>
      <c r="Q670" s="92" t="s">
        <v>79</v>
      </c>
      <c r="R670" s="92" t="s">
        <v>85</v>
      </c>
      <c r="S670" s="92" t="b">
        <v>1</v>
      </c>
      <c r="T670" s="100">
        <v>1</v>
      </c>
      <c r="U670" s="100">
        <v>2.9849643835992179E+17</v>
      </c>
      <c r="V670" s="100"/>
    </row>
    <row r="671" spans="4:22" ht="15" customHeight="1">
      <c r="D671" s="98" t="b">
        <v>0</v>
      </c>
      <c r="E671" s="93">
        <v>1</v>
      </c>
      <c r="F671" s="91">
        <v>2</v>
      </c>
      <c r="G671" s="91" t="s">
        <v>81</v>
      </c>
      <c r="H671" s="92">
        <v>25</v>
      </c>
      <c r="I671" s="92">
        <v>1</v>
      </c>
      <c r="J671" s="92">
        <v>1</v>
      </c>
      <c r="K671" s="92">
        <v>30</v>
      </c>
      <c r="L671" s="92" t="s">
        <v>75</v>
      </c>
      <c r="M671" s="92" t="s">
        <v>90</v>
      </c>
      <c r="N671" s="92" t="s">
        <v>83</v>
      </c>
      <c r="O671" s="92" t="b">
        <v>0</v>
      </c>
      <c r="P671" s="92"/>
      <c r="Q671" s="92" t="s">
        <v>79</v>
      </c>
      <c r="R671" s="92" t="s">
        <v>85</v>
      </c>
      <c r="S671" s="92" t="b">
        <v>0</v>
      </c>
      <c r="T671" s="100">
        <v>1</v>
      </c>
      <c r="U671" s="100">
        <v>1.5813739027699356E+19</v>
      </c>
      <c r="V671" s="100"/>
    </row>
    <row r="672" spans="4:22" ht="15" customHeight="1">
      <c r="D672" s="98" t="b">
        <v>0</v>
      </c>
      <c r="E672" s="93">
        <v>1</v>
      </c>
      <c r="F672" s="91">
        <v>1</v>
      </c>
      <c r="G672" s="91" t="s">
        <v>81</v>
      </c>
      <c r="H672" s="92">
        <v>39</v>
      </c>
      <c r="I672" s="92">
        <v>1</v>
      </c>
      <c r="J672" s="92">
        <v>1</v>
      </c>
      <c r="K672" s="92">
        <v>110.88330000000001</v>
      </c>
      <c r="L672" s="92" t="s">
        <v>78</v>
      </c>
      <c r="M672" s="92" t="s">
        <v>82</v>
      </c>
      <c r="N672" s="92" t="s">
        <v>83</v>
      </c>
      <c r="O672" s="92" t="b">
        <v>0</v>
      </c>
      <c r="P672" s="92" t="s">
        <v>78</v>
      </c>
      <c r="Q672" s="92" t="s">
        <v>84</v>
      </c>
      <c r="R672" s="92" t="s">
        <v>85</v>
      </c>
      <c r="S672" s="92" t="b">
        <v>0</v>
      </c>
      <c r="T672" s="100">
        <v>0</v>
      </c>
      <c r="U672" s="100">
        <v>6.7491683153781996E+18</v>
      </c>
      <c r="V672" s="100"/>
    </row>
    <row r="673" spans="4:22" ht="15" customHeight="1">
      <c r="D673" s="98" t="b">
        <v>0</v>
      </c>
      <c r="E673" s="93">
        <v>0</v>
      </c>
      <c r="F673" s="91">
        <v>2</v>
      </c>
      <c r="G673" s="91" t="s">
        <v>74</v>
      </c>
      <c r="H673" s="92">
        <v>54</v>
      </c>
      <c r="I673" s="92">
        <v>0</v>
      </c>
      <c r="J673" s="92">
        <v>0</v>
      </c>
      <c r="K673" s="92">
        <v>26</v>
      </c>
      <c r="L673" s="92" t="s">
        <v>75</v>
      </c>
      <c r="M673" s="92" t="s">
        <v>90</v>
      </c>
      <c r="N673" s="92" t="s">
        <v>77</v>
      </c>
      <c r="O673" s="92" t="b">
        <v>1</v>
      </c>
      <c r="P673" s="92"/>
      <c r="Q673" s="92" t="s">
        <v>79</v>
      </c>
      <c r="R673" s="92" t="s">
        <v>80</v>
      </c>
      <c r="S673" s="92" t="b">
        <v>1</v>
      </c>
      <c r="T673" s="100">
        <v>1</v>
      </c>
      <c r="U673" s="100">
        <v>3.172574689097281E+18</v>
      </c>
      <c r="V673" s="100"/>
    </row>
    <row r="674" spans="4:22" ht="15" customHeight="1">
      <c r="D674" s="98" t="b">
        <v>0</v>
      </c>
      <c r="E674" s="93">
        <v>0</v>
      </c>
      <c r="F674" s="91">
        <v>1</v>
      </c>
      <c r="G674" s="91" t="s">
        <v>74</v>
      </c>
      <c r="H674" s="92">
        <v>36</v>
      </c>
      <c r="I674" s="92">
        <v>0</v>
      </c>
      <c r="J674" s="92">
        <v>0</v>
      </c>
      <c r="K674" s="92">
        <v>40.125</v>
      </c>
      <c r="L674" s="92" t="s">
        <v>78</v>
      </c>
      <c r="M674" s="92" t="s">
        <v>82</v>
      </c>
      <c r="N674" s="92" t="s">
        <v>77</v>
      </c>
      <c r="O674" s="92" t="b">
        <v>1</v>
      </c>
      <c r="P674" s="92" t="s">
        <v>93</v>
      </c>
      <c r="Q674" s="92" t="s">
        <v>84</v>
      </c>
      <c r="R674" s="92" t="s">
        <v>80</v>
      </c>
      <c r="S674" s="92" t="b">
        <v>1</v>
      </c>
      <c r="T674" s="100">
        <v>0</v>
      </c>
      <c r="U674" s="100">
        <v>1.7620963995244327E+19</v>
      </c>
      <c r="V674" s="100"/>
    </row>
    <row r="675" spans="4:22" ht="15" customHeight="1">
      <c r="D675" s="98" t="b">
        <v>0</v>
      </c>
      <c r="E675" s="93">
        <v>0</v>
      </c>
      <c r="F675" s="91">
        <v>3</v>
      </c>
      <c r="G675" s="91" t="s">
        <v>74</v>
      </c>
      <c r="H675" s="92"/>
      <c r="I675" s="92">
        <v>0</v>
      </c>
      <c r="J675" s="92">
        <v>0</v>
      </c>
      <c r="K675" s="92">
        <v>8.7125000000000004</v>
      </c>
      <c r="L675" s="92" t="s">
        <v>78</v>
      </c>
      <c r="M675" s="92" t="s">
        <v>76</v>
      </c>
      <c r="N675" s="92" t="s">
        <v>77</v>
      </c>
      <c r="O675" s="92" t="b">
        <v>1</v>
      </c>
      <c r="P675" s="92"/>
      <c r="Q675" s="92" t="s">
        <v>84</v>
      </c>
      <c r="R675" s="92" t="s">
        <v>80</v>
      </c>
      <c r="S675" s="92" t="b">
        <v>1</v>
      </c>
      <c r="T675" s="100">
        <v>1</v>
      </c>
      <c r="U675" s="100">
        <v>8.4282119459516283E+18</v>
      </c>
      <c r="V675" s="100"/>
    </row>
    <row r="676" spans="4:22" ht="15" customHeight="1">
      <c r="D676" s="98" t="b">
        <v>0</v>
      </c>
      <c r="E676" s="93">
        <v>1</v>
      </c>
      <c r="F676" s="91">
        <v>1</v>
      </c>
      <c r="G676" s="91" t="s">
        <v>81</v>
      </c>
      <c r="H676" s="92">
        <v>18</v>
      </c>
      <c r="I676" s="92">
        <v>0</v>
      </c>
      <c r="J676" s="92">
        <v>2</v>
      </c>
      <c r="K676" s="92">
        <v>79.650000000000006</v>
      </c>
      <c r="L676" s="92" t="s">
        <v>75</v>
      </c>
      <c r="M676" s="92" t="s">
        <v>82</v>
      </c>
      <c r="N676" s="92" t="s">
        <v>83</v>
      </c>
      <c r="O676" s="92" t="b">
        <v>0</v>
      </c>
      <c r="P676" s="92" t="s">
        <v>88</v>
      </c>
      <c r="Q676" s="92" t="s">
        <v>79</v>
      </c>
      <c r="R676" s="92" t="s">
        <v>85</v>
      </c>
      <c r="S676" s="92" t="b">
        <v>0</v>
      </c>
      <c r="T676" s="100">
        <v>0</v>
      </c>
      <c r="U676" s="100">
        <v>1.4913117639013802E+19</v>
      </c>
      <c r="V676" s="100"/>
    </row>
    <row r="677" spans="4:22" ht="15" customHeight="1">
      <c r="D677" s="98" t="b">
        <v>0</v>
      </c>
      <c r="E677" s="93">
        <v>0</v>
      </c>
      <c r="F677" s="91">
        <v>2</v>
      </c>
      <c r="G677" s="91" t="s">
        <v>74</v>
      </c>
      <c r="H677" s="92">
        <v>47</v>
      </c>
      <c r="I677" s="92">
        <v>0</v>
      </c>
      <c r="J677" s="92">
        <v>0</v>
      </c>
      <c r="K677" s="92">
        <v>15</v>
      </c>
      <c r="L677" s="92" t="s">
        <v>75</v>
      </c>
      <c r="M677" s="92" t="s">
        <v>90</v>
      </c>
      <c r="N677" s="92" t="s">
        <v>77</v>
      </c>
      <c r="O677" s="92" t="b">
        <v>1</v>
      </c>
      <c r="P677" s="92"/>
      <c r="Q677" s="92" t="s">
        <v>79</v>
      </c>
      <c r="R677" s="92" t="s">
        <v>80</v>
      </c>
      <c r="S677" s="92" t="b">
        <v>1</v>
      </c>
      <c r="T677" s="100">
        <v>1</v>
      </c>
      <c r="U677" s="100">
        <v>1.4367685383816147E+19</v>
      </c>
      <c r="V677" s="100"/>
    </row>
    <row r="678" spans="4:22" ht="15" customHeight="1">
      <c r="D678" s="98" t="b">
        <v>0</v>
      </c>
      <c r="E678" s="93">
        <v>1</v>
      </c>
      <c r="F678" s="91">
        <v>1</v>
      </c>
      <c r="G678" s="91" t="s">
        <v>74</v>
      </c>
      <c r="H678" s="92">
        <v>60</v>
      </c>
      <c r="I678" s="92">
        <v>1</v>
      </c>
      <c r="J678" s="92">
        <v>1</v>
      </c>
      <c r="K678" s="92">
        <v>79.2</v>
      </c>
      <c r="L678" s="92" t="s">
        <v>78</v>
      </c>
      <c r="M678" s="92" t="s">
        <v>82</v>
      </c>
      <c r="N678" s="92" t="s">
        <v>77</v>
      </c>
      <c r="O678" s="92" t="b">
        <v>1</v>
      </c>
      <c r="P678" s="92" t="s">
        <v>94</v>
      </c>
      <c r="Q678" s="92" t="s">
        <v>84</v>
      </c>
      <c r="R678" s="92" t="s">
        <v>85</v>
      </c>
      <c r="S678" s="92" t="b">
        <v>0</v>
      </c>
      <c r="T678" s="100">
        <v>0</v>
      </c>
      <c r="U678" s="100">
        <v>1.6400455227089547E+19</v>
      </c>
      <c r="V678" s="100"/>
    </row>
    <row r="679" spans="4:22" ht="15" customHeight="1">
      <c r="D679" s="98" t="b">
        <v>0</v>
      </c>
      <c r="E679" s="93">
        <v>0</v>
      </c>
      <c r="F679" s="91">
        <v>3</v>
      </c>
      <c r="G679" s="91" t="s">
        <v>74</v>
      </c>
      <c r="H679" s="92">
        <v>22</v>
      </c>
      <c r="I679" s="92">
        <v>0</v>
      </c>
      <c r="J679" s="92">
        <v>0</v>
      </c>
      <c r="K679" s="92">
        <v>8.0500000000000007</v>
      </c>
      <c r="L679" s="92" t="s">
        <v>75</v>
      </c>
      <c r="M679" s="92" t="s">
        <v>76</v>
      </c>
      <c r="N679" s="92" t="s">
        <v>77</v>
      </c>
      <c r="O679" s="92" t="b">
        <v>1</v>
      </c>
      <c r="P679" s="92"/>
      <c r="Q679" s="92" t="s">
        <v>79</v>
      </c>
      <c r="R679" s="92" t="s">
        <v>80</v>
      </c>
      <c r="S679" s="92" t="b">
        <v>1</v>
      </c>
      <c r="T679" s="100">
        <v>1</v>
      </c>
      <c r="U679" s="100">
        <v>1.3716189280502122E+19</v>
      </c>
      <c r="V679" s="100"/>
    </row>
    <row r="680" spans="4:22" ht="15" customHeight="1">
      <c r="D680" s="98" t="b">
        <v>0</v>
      </c>
      <c r="E680" s="93">
        <v>0</v>
      </c>
      <c r="F680" s="91">
        <v>3</v>
      </c>
      <c r="G680" s="91" t="s">
        <v>74</v>
      </c>
      <c r="H680" s="92"/>
      <c r="I680" s="92">
        <v>0</v>
      </c>
      <c r="J680" s="92">
        <v>0</v>
      </c>
      <c r="K680" s="92">
        <v>8.0500000000000007</v>
      </c>
      <c r="L680" s="92" t="s">
        <v>75</v>
      </c>
      <c r="M680" s="92" t="s">
        <v>76</v>
      </c>
      <c r="N680" s="92" t="s">
        <v>77</v>
      </c>
      <c r="O680" s="92" t="b">
        <v>1</v>
      </c>
      <c r="P680" s="92"/>
      <c r="Q680" s="92" t="s">
        <v>79</v>
      </c>
      <c r="R680" s="92" t="s">
        <v>80</v>
      </c>
      <c r="S680" s="92" t="b">
        <v>1</v>
      </c>
      <c r="T680" s="100">
        <v>1</v>
      </c>
      <c r="U680" s="100">
        <v>1.036563458869572E+19</v>
      </c>
      <c r="V680" s="100"/>
    </row>
    <row r="681" spans="4:22" ht="15" customHeight="1">
      <c r="D681" s="98" t="b">
        <v>0</v>
      </c>
      <c r="E681" s="93">
        <v>0</v>
      </c>
      <c r="F681" s="91">
        <v>3</v>
      </c>
      <c r="G681" s="91" t="s">
        <v>74</v>
      </c>
      <c r="H681" s="92">
        <v>35</v>
      </c>
      <c r="I681" s="92">
        <v>0</v>
      </c>
      <c r="J681" s="92">
        <v>0</v>
      </c>
      <c r="K681" s="92">
        <v>7.125</v>
      </c>
      <c r="L681" s="92" t="s">
        <v>75</v>
      </c>
      <c r="M681" s="92" t="s">
        <v>76</v>
      </c>
      <c r="N681" s="92" t="s">
        <v>77</v>
      </c>
      <c r="O681" s="92" t="b">
        <v>1</v>
      </c>
      <c r="P681" s="92"/>
      <c r="Q681" s="92" t="s">
        <v>79</v>
      </c>
      <c r="R681" s="92" t="s">
        <v>80</v>
      </c>
      <c r="S681" s="92" t="b">
        <v>1</v>
      </c>
      <c r="T681" s="100">
        <v>1</v>
      </c>
      <c r="U681" s="100">
        <v>1.7664313499940463E+19</v>
      </c>
      <c r="V681" s="100"/>
    </row>
    <row r="682" spans="4:22" ht="15" customHeight="1">
      <c r="D682" s="98" t="b">
        <v>0</v>
      </c>
      <c r="E682" s="93">
        <v>1</v>
      </c>
      <c r="F682" s="91">
        <v>1</v>
      </c>
      <c r="G682" s="91" t="s">
        <v>81</v>
      </c>
      <c r="H682" s="92">
        <v>52</v>
      </c>
      <c r="I682" s="92">
        <v>1</v>
      </c>
      <c r="J682" s="92">
        <v>0</v>
      </c>
      <c r="K682" s="92">
        <v>78.2667</v>
      </c>
      <c r="L682" s="92" t="s">
        <v>78</v>
      </c>
      <c r="M682" s="92" t="s">
        <v>82</v>
      </c>
      <c r="N682" s="92" t="s">
        <v>83</v>
      </c>
      <c r="O682" s="92" t="b">
        <v>0</v>
      </c>
      <c r="P682" s="92" t="s">
        <v>92</v>
      </c>
      <c r="Q682" s="92" t="s">
        <v>84</v>
      </c>
      <c r="R682" s="92" t="s">
        <v>85</v>
      </c>
      <c r="S682" s="92" t="b">
        <v>0</v>
      </c>
      <c r="T682" s="100">
        <v>0</v>
      </c>
      <c r="U682" s="100">
        <v>1.7581750726208844E+19</v>
      </c>
      <c r="V682" s="100"/>
    </row>
    <row r="683" spans="4:22" ht="15" customHeight="1">
      <c r="D683" s="98" t="b">
        <v>0</v>
      </c>
      <c r="E683" s="93">
        <v>0</v>
      </c>
      <c r="F683" s="91">
        <v>3</v>
      </c>
      <c r="G683" s="91" t="s">
        <v>74</v>
      </c>
      <c r="H683" s="92">
        <v>47</v>
      </c>
      <c r="I683" s="92">
        <v>0</v>
      </c>
      <c r="J683" s="92">
        <v>0</v>
      </c>
      <c r="K683" s="92">
        <v>7.25</v>
      </c>
      <c r="L683" s="92" t="s">
        <v>75</v>
      </c>
      <c r="M683" s="92" t="s">
        <v>76</v>
      </c>
      <c r="N683" s="92" t="s">
        <v>77</v>
      </c>
      <c r="O683" s="92" t="b">
        <v>1</v>
      </c>
      <c r="P683" s="92"/>
      <c r="Q683" s="92" t="s">
        <v>79</v>
      </c>
      <c r="R683" s="92" t="s">
        <v>80</v>
      </c>
      <c r="S683" s="92" t="b">
        <v>1</v>
      </c>
      <c r="T683" s="100">
        <v>1</v>
      </c>
      <c r="U683" s="100">
        <v>3.6575810845749268E+18</v>
      </c>
      <c r="V683" s="100"/>
    </row>
    <row r="684" spans="4:22" ht="15" customHeight="1">
      <c r="D684" s="98" t="b">
        <v>0</v>
      </c>
      <c r="E684" s="93">
        <v>0</v>
      </c>
      <c r="F684" s="91">
        <v>3</v>
      </c>
      <c r="G684" s="91" t="s">
        <v>81</v>
      </c>
      <c r="H684" s="92"/>
      <c r="I684" s="92">
        <v>0</v>
      </c>
      <c r="J684" s="92">
        <v>2</v>
      </c>
      <c r="K684" s="92">
        <v>7.75</v>
      </c>
      <c r="L684" s="92" t="s">
        <v>86</v>
      </c>
      <c r="M684" s="92" t="s">
        <v>76</v>
      </c>
      <c r="N684" s="92" t="s">
        <v>83</v>
      </c>
      <c r="O684" s="92" t="b">
        <v>0</v>
      </c>
      <c r="P684" s="92"/>
      <c r="Q684" s="92" t="s">
        <v>87</v>
      </c>
      <c r="R684" s="92" t="s">
        <v>80</v>
      </c>
      <c r="S684" s="92" t="b">
        <v>0</v>
      </c>
      <c r="T684" s="100">
        <v>1</v>
      </c>
      <c r="U684" s="100">
        <v>4.0676558925898947E+18</v>
      </c>
      <c r="V684" s="100"/>
    </row>
    <row r="685" spans="4:22" ht="15" customHeight="1">
      <c r="D685" s="98" t="b">
        <v>0</v>
      </c>
      <c r="E685" s="93">
        <v>0</v>
      </c>
      <c r="F685" s="91">
        <v>2</v>
      </c>
      <c r="G685" s="91" t="s">
        <v>74</v>
      </c>
      <c r="H685" s="92">
        <v>37</v>
      </c>
      <c r="I685" s="92">
        <v>1</v>
      </c>
      <c r="J685" s="92">
        <v>0</v>
      </c>
      <c r="K685" s="92">
        <v>26</v>
      </c>
      <c r="L685" s="92" t="s">
        <v>75</v>
      </c>
      <c r="M685" s="92" t="s">
        <v>90</v>
      </c>
      <c r="N685" s="92" t="s">
        <v>77</v>
      </c>
      <c r="O685" s="92" t="b">
        <v>1</v>
      </c>
      <c r="P685" s="92"/>
      <c r="Q685" s="92" t="s">
        <v>79</v>
      </c>
      <c r="R685" s="92" t="s">
        <v>80</v>
      </c>
      <c r="S685" s="92" t="b">
        <v>0</v>
      </c>
      <c r="T685" s="100">
        <v>1</v>
      </c>
      <c r="U685" s="100">
        <v>6.0792415990744832E+18</v>
      </c>
      <c r="V685" s="100"/>
    </row>
    <row r="686" spans="4:22" ht="15" customHeight="1">
      <c r="D686" s="98" t="b">
        <v>0</v>
      </c>
      <c r="E686" s="93">
        <v>0</v>
      </c>
      <c r="F686" s="91">
        <v>3</v>
      </c>
      <c r="G686" s="91" t="s">
        <v>74</v>
      </c>
      <c r="H686" s="92">
        <v>36</v>
      </c>
      <c r="I686" s="92">
        <v>1</v>
      </c>
      <c r="J686" s="92">
        <v>1</v>
      </c>
      <c r="K686" s="92">
        <v>24.15</v>
      </c>
      <c r="L686" s="92" t="s">
        <v>75</v>
      </c>
      <c r="M686" s="92" t="s">
        <v>76</v>
      </c>
      <c r="N686" s="92" t="s">
        <v>77</v>
      </c>
      <c r="O686" s="92" t="b">
        <v>1</v>
      </c>
      <c r="P686" s="92"/>
      <c r="Q686" s="92" t="s">
        <v>79</v>
      </c>
      <c r="R686" s="92" t="s">
        <v>80</v>
      </c>
      <c r="S686" s="92" t="b">
        <v>0</v>
      </c>
      <c r="T686" s="100">
        <v>1</v>
      </c>
      <c r="U686" s="100">
        <v>1.3435272545725491E+18</v>
      </c>
      <c r="V686" s="100"/>
    </row>
    <row r="687" spans="4:22" ht="15" customHeight="1">
      <c r="D687" s="98" t="b">
        <v>0</v>
      </c>
      <c r="E687" s="93">
        <v>1</v>
      </c>
      <c r="F687" s="91">
        <v>2</v>
      </c>
      <c r="G687" s="91" t="s">
        <v>81</v>
      </c>
      <c r="H687" s="92"/>
      <c r="I687" s="92">
        <v>0</v>
      </c>
      <c r="J687" s="92">
        <v>0</v>
      </c>
      <c r="K687" s="92">
        <v>33</v>
      </c>
      <c r="L687" s="92" t="s">
        <v>75</v>
      </c>
      <c r="M687" s="92" t="s">
        <v>90</v>
      </c>
      <c r="N687" s="92" t="s">
        <v>83</v>
      </c>
      <c r="O687" s="92" t="b">
        <v>0</v>
      </c>
      <c r="P687" s="92"/>
      <c r="Q687" s="92" t="s">
        <v>79</v>
      </c>
      <c r="R687" s="92" t="s">
        <v>85</v>
      </c>
      <c r="S687" s="92" t="b">
        <v>1</v>
      </c>
      <c r="T687" s="100">
        <v>1</v>
      </c>
      <c r="U687" s="100">
        <v>1.4434580706507039E+19</v>
      </c>
      <c r="V687" s="100"/>
    </row>
    <row r="688" spans="4:22" ht="15" customHeight="1">
      <c r="D688" s="98" t="b">
        <v>0</v>
      </c>
      <c r="E688" s="93">
        <v>0</v>
      </c>
      <c r="F688" s="91">
        <v>3</v>
      </c>
      <c r="G688" s="91" t="s">
        <v>74</v>
      </c>
      <c r="H688" s="92">
        <v>49</v>
      </c>
      <c r="I688" s="92">
        <v>0</v>
      </c>
      <c r="J688" s="92">
        <v>0</v>
      </c>
      <c r="K688" s="92">
        <v>0</v>
      </c>
      <c r="L688" s="92" t="s">
        <v>75</v>
      </c>
      <c r="M688" s="92" t="s">
        <v>76</v>
      </c>
      <c r="N688" s="92" t="s">
        <v>77</v>
      </c>
      <c r="O688" s="92" t="b">
        <v>1</v>
      </c>
      <c r="P688" s="92"/>
      <c r="Q688" s="92" t="s">
        <v>79</v>
      </c>
      <c r="R688" s="92" t="s">
        <v>80</v>
      </c>
      <c r="S688" s="92" t="b">
        <v>1</v>
      </c>
      <c r="T688" s="100">
        <v>1</v>
      </c>
      <c r="U688" s="100">
        <v>1.8724691289225513E+18</v>
      </c>
      <c r="V688" s="100"/>
    </row>
    <row r="689" spans="4:22" ht="15" customHeight="1">
      <c r="D689" s="98" t="b">
        <v>0</v>
      </c>
      <c r="E689" s="93">
        <v>0</v>
      </c>
      <c r="F689" s="91">
        <v>3</v>
      </c>
      <c r="G689" s="91" t="s">
        <v>74</v>
      </c>
      <c r="H689" s="92"/>
      <c r="I689" s="92">
        <v>0</v>
      </c>
      <c r="J689" s="92">
        <v>0</v>
      </c>
      <c r="K689" s="92">
        <v>7.2249999999999996</v>
      </c>
      <c r="L689" s="92" t="s">
        <v>78</v>
      </c>
      <c r="M689" s="92" t="s">
        <v>76</v>
      </c>
      <c r="N689" s="92" t="s">
        <v>77</v>
      </c>
      <c r="O689" s="92" t="b">
        <v>1</v>
      </c>
      <c r="P689" s="92"/>
      <c r="Q689" s="92" t="s">
        <v>84</v>
      </c>
      <c r="R689" s="92" t="s">
        <v>80</v>
      </c>
      <c r="S689" s="92" t="b">
        <v>1</v>
      </c>
      <c r="T689" s="100">
        <v>1</v>
      </c>
      <c r="U689" s="100">
        <v>4.2150475999644298E+18</v>
      </c>
      <c r="V689" s="100"/>
    </row>
    <row r="690" spans="4:22" ht="15" customHeight="1">
      <c r="D690" s="98" t="b">
        <v>0</v>
      </c>
      <c r="E690" s="93">
        <v>1</v>
      </c>
      <c r="F690" s="91">
        <v>1</v>
      </c>
      <c r="G690" s="91" t="s">
        <v>74</v>
      </c>
      <c r="H690" s="92">
        <v>49</v>
      </c>
      <c r="I690" s="92">
        <v>1</v>
      </c>
      <c r="J690" s="92">
        <v>0</v>
      </c>
      <c r="K690" s="92">
        <v>56.929200000000002</v>
      </c>
      <c r="L690" s="92" t="s">
        <v>78</v>
      </c>
      <c r="M690" s="92" t="s">
        <v>82</v>
      </c>
      <c r="N690" s="92" t="s">
        <v>77</v>
      </c>
      <c r="O690" s="92" t="b">
        <v>1</v>
      </c>
      <c r="P690" s="92" t="s">
        <v>93</v>
      </c>
      <c r="Q690" s="92" t="s">
        <v>84</v>
      </c>
      <c r="R690" s="92" t="s">
        <v>85</v>
      </c>
      <c r="S690" s="92" t="b">
        <v>0</v>
      </c>
      <c r="T690" s="100">
        <v>0</v>
      </c>
      <c r="U690" s="100">
        <v>6.4284311736002739E+17</v>
      </c>
      <c r="V690" s="100"/>
    </row>
    <row r="691" spans="4:22" ht="15" customHeight="1">
      <c r="D691" s="98" t="b">
        <v>0</v>
      </c>
      <c r="E691" s="93">
        <v>1</v>
      </c>
      <c r="F691" s="91">
        <v>2</v>
      </c>
      <c r="G691" s="91" t="s">
        <v>81</v>
      </c>
      <c r="H691" s="92">
        <v>24</v>
      </c>
      <c r="I691" s="92">
        <v>2</v>
      </c>
      <c r="J691" s="92">
        <v>1</v>
      </c>
      <c r="K691" s="92">
        <v>27</v>
      </c>
      <c r="L691" s="92" t="s">
        <v>75</v>
      </c>
      <c r="M691" s="92" t="s">
        <v>90</v>
      </c>
      <c r="N691" s="92" t="s">
        <v>83</v>
      </c>
      <c r="O691" s="92" t="b">
        <v>0</v>
      </c>
      <c r="P691" s="92"/>
      <c r="Q691" s="92" t="s">
        <v>79</v>
      </c>
      <c r="R691" s="92" t="s">
        <v>85</v>
      </c>
      <c r="S691" s="92" t="b">
        <v>0</v>
      </c>
      <c r="T691" s="100">
        <v>1</v>
      </c>
      <c r="U691" s="100">
        <v>1.7644219727918664E+19</v>
      </c>
      <c r="V691" s="100"/>
    </row>
    <row r="692" spans="4:22" ht="15" customHeight="1">
      <c r="D692" s="98" t="b">
        <v>0</v>
      </c>
      <c r="E692" s="93">
        <v>0</v>
      </c>
      <c r="F692" s="91">
        <v>3</v>
      </c>
      <c r="G692" s="91" t="s">
        <v>74</v>
      </c>
      <c r="H692" s="92"/>
      <c r="I692" s="92">
        <v>0</v>
      </c>
      <c r="J692" s="92">
        <v>0</v>
      </c>
      <c r="K692" s="92">
        <v>7.8958000000000004</v>
      </c>
      <c r="L692" s="92" t="s">
        <v>75</v>
      </c>
      <c r="M692" s="92" t="s">
        <v>76</v>
      </c>
      <c r="N692" s="92" t="s">
        <v>77</v>
      </c>
      <c r="O692" s="92" t="b">
        <v>1</v>
      </c>
      <c r="P692" s="92"/>
      <c r="Q692" s="92" t="s">
        <v>79</v>
      </c>
      <c r="R692" s="92" t="s">
        <v>80</v>
      </c>
      <c r="S692" s="92" t="b">
        <v>1</v>
      </c>
      <c r="T692" s="100">
        <v>1</v>
      </c>
      <c r="U692" s="100">
        <v>9.9740171854948762E+18</v>
      </c>
      <c r="V692" s="100"/>
    </row>
    <row r="693" spans="4:22" ht="15" customHeight="1">
      <c r="D693" s="98" t="b">
        <v>0</v>
      </c>
      <c r="E693" s="93">
        <v>0</v>
      </c>
      <c r="F693" s="91">
        <v>1</v>
      </c>
      <c r="G693" s="91" t="s">
        <v>74</v>
      </c>
      <c r="H693" s="92"/>
      <c r="I693" s="92">
        <v>0</v>
      </c>
      <c r="J693" s="92">
        <v>0</v>
      </c>
      <c r="K693" s="92">
        <v>42.4</v>
      </c>
      <c r="L693" s="92" t="s">
        <v>75</v>
      </c>
      <c r="M693" s="92" t="s">
        <v>82</v>
      </c>
      <c r="N693" s="92" t="s">
        <v>77</v>
      </c>
      <c r="O693" s="92" t="b">
        <v>1</v>
      </c>
      <c r="P693" s="92"/>
      <c r="Q693" s="92" t="s">
        <v>79</v>
      </c>
      <c r="R693" s="92" t="s">
        <v>80</v>
      </c>
      <c r="S693" s="92" t="b">
        <v>1</v>
      </c>
      <c r="T693" s="100">
        <v>1</v>
      </c>
      <c r="U693" s="100">
        <v>1.1464510100213715E+19</v>
      </c>
      <c r="V693" s="100"/>
    </row>
    <row r="694" spans="4:22" ht="15" customHeight="1">
      <c r="D694" s="98" t="b">
        <v>0</v>
      </c>
      <c r="E694" s="93">
        <v>0</v>
      </c>
      <c r="F694" s="91">
        <v>3</v>
      </c>
      <c r="G694" s="91" t="s">
        <v>74</v>
      </c>
      <c r="H694" s="92">
        <v>44</v>
      </c>
      <c r="I694" s="92">
        <v>0</v>
      </c>
      <c r="J694" s="92">
        <v>0</v>
      </c>
      <c r="K694" s="92">
        <v>8.0500000000000007</v>
      </c>
      <c r="L694" s="92" t="s">
        <v>75</v>
      </c>
      <c r="M694" s="92" t="s">
        <v>76</v>
      </c>
      <c r="N694" s="92" t="s">
        <v>77</v>
      </c>
      <c r="O694" s="92" t="b">
        <v>1</v>
      </c>
      <c r="P694" s="92"/>
      <c r="Q694" s="92" t="s">
        <v>79</v>
      </c>
      <c r="R694" s="92" t="s">
        <v>80</v>
      </c>
      <c r="S694" s="92" t="b">
        <v>1</v>
      </c>
      <c r="T694" s="100">
        <v>1</v>
      </c>
      <c r="U694" s="100">
        <v>9.4568356093096899E+18</v>
      </c>
      <c r="V694" s="100"/>
    </row>
    <row r="695" spans="4:22" ht="15" customHeight="1">
      <c r="D695" s="98" t="b">
        <v>0</v>
      </c>
      <c r="E695" s="93">
        <v>1</v>
      </c>
      <c r="F695" s="91">
        <v>1</v>
      </c>
      <c r="G695" s="91" t="s">
        <v>74</v>
      </c>
      <c r="H695" s="92">
        <v>35</v>
      </c>
      <c r="I695" s="92">
        <v>0</v>
      </c>
      <c r="J695" s="92">
        <v>0</v>
      </c>
      <c r="K695" s="92">
        <v>26.55</v>
      </c>
      <c r="L695" s="92" t="s">
        <v>78</v>
      </c>
      <c r="M695" s="92" t="s">
        <v>82</v>
      </c>
      <c r="N695" s="92" t="s">
        <v>77</v>
      </c>
      <c r="O695" s="92" t="b">
        <v>1</v>
      </c>
      <c r="P695" s="92"/>
      <c r="Q695" s="92" t="s">
        <v>84</v>
      </c>
      <c r="R695" s="92" t="s">
        <v>85</v>
      </c>
      <c r="S695" s="92" t="b">
        <v>1</v>
      </c>
      <c r="T695" s="100">
        <v>1</v>
      </c>
      <c r="U695" s="100">
        <v>1.2566777492383865E+19</v>
      </c>
      <c r="V695" s="100"/>
    </row>
    <row r="696" spans="4:22" ht="15" customHeight="1">
      <c r="D696" s="98" t="b">
        <v>0</v>
      </c>
      <c r="E696" s="93">
        <v>0</v>
      </c>
      <c r="F696" s="91">
        <v>3</v>
      </c>
      <c r="G696" s="91" t="s">
        <v>74</v>
      </c>
      <c r="H696" s="92">
        <v>36</v>
      </c>
      <c r="I696" s="92">
        <v>1</v>
      </c>
      <c r="J696" s="92">
        <v>0</v>
      </c>
      <c r="K696" s="92">
        <v>15.55</v>
      </c>
      <c r="L696" s="92" t="s">
        <v>75</v>
      </c>
      <c r="M696" s="92" t="s">
        <v>76</v>
      </c>
      <c r="N696" s="92" t="s">
        <v>77</v>
      </c>
      <c r="O696" s="92" t="b">
        <v>1</v>
      </c>
      <c r="P696" s="92"/>
      <c r="Q696" s="92" t="s">
        <v>79</v>
      </c>
      <c r="R696" s="92" t="s">
        <v>80</v>
      </c>
      <c r="S696" s="92" t="b">
        <v>0</v>
      </c>
      <c r="T696" s="100">
        <v>1</v>
      </c>
      <c r="U696" s="100">
        <v>1.5212994877310171E+19</v>
      </c>
      <c r="V696" s="100"/>
    </row>
    <row r="697" spans="4:22" ht="15" customHeight="1">
      <c r="D697" s="98" t="b">
        <v>0</v>
      </c>
      <c r="E697" s="93">
        <v>0</v>
      </c>
      <c r="F697" s="91">
        <v>3</v>
      </c>
      <c r="G697" s="91" t="s">
        <v>74</v>
      </c>
      <c r="H697" s="92">
        <v>30</v>
      </c>
      <c r="I697" s="92">
        <v>0</v>
      </c>
      <c r="J697" s="92">
        <v>0</v>
      </c>
      <c r="K697" s="92">
        <v>7.8958000000000004</v>
      </c>
      <c r="L697" s="92" t="s">
        <v>75</v>
      </c>
      <c r="M697" s="92" t="s">
        <v>76</v>
      </c>
      <c r="N697" s="92" t="s">
        <v>77</v>
      </c>
      <c r="O697" s="92" t="b">
        <v>1</v>
      </c>
      <c r="P697" s="92"/>
      <c r="Q697" s="92" t="s">
        <v>79</v>
      </c>
      <c r="R697" s="92" t="s">
        <v>80</v>
      </c>
      <c r="S697" s="92" t="b">
        <v>1</v>
      </c>
      <c r="T697" s="100">
        <v>1</v>
      </c>
      <c r="U697" s="100">
        <v>4.3575879858762342E+17</v>
      </c>
      <c r="V697" s="100"/>
    </row>
    <row r="698" spans="4:22" ht="15" customHeight="1">
      <c r="D698" s="98" t="b">
        <v>0</v>
      </c>
      <c r="E698" s="93">
        <v>1</v>
      </c>
      <c r="F698" s="91">
        <v>1</v>
      </c>
      <c r="G698" s="91" t="s">
        <v>74</v>
      </c>
      <c r="H698" s="92">
        <v>27</v>
      </c>
      <c r="I698" s="92">
        <v>0</v>
      </c>
      <c r="J698" s="92">
        <v>0</v>
      </c>
      <c r="K698" s="92">
        <v>30.5</v>
      </c>
      <c r="L698" s="92" t="s">
        <v>75</v>
      </c>
      <c r="M698" s="92" t="s">
        <v>82</v>
      </c>
      <c r="N698" s="92" t="s">
        <v>77</v>
      </c>
      <c r="O698" s="92" t="b">
        <v>1</v>
      </c>
      <c r="P698" s="92"/>
      <c r="Q698" s="92" t="s">
        <v>79</v>
      </c>
      <c r="R698" s="92" t="s">
        <v>85</v>
      </c>
      <c r="S698" s="92" t="b">
        <v>1</v>
      </c>
      <c r="T698" s="100">
        <v>1</v>
      </c>
      <c r="U698" s="100">
        <v>1.2194692046388023E+19</v>
      </c>
      <c r="V698" s="100"/>
    </row>
    <row r="699" spans="4:22" ht="15" customHeight="1">
      <c r="D699" s="98" t="b">
        <v>0</v>
      </c>
      <c r="E699" s="93">
        <v>1</v>
      </c>
      <c r="F699" s="91">
        <v>2</v>
      </c>
      <c r="G699" s="91" t="s">
        <v>81</v>
      </c>
      <c r="H699" s="92">
        <v>22</v>
      </c>
      <c r="I699" s="92">
        <v>1</v>
      </c>
      <c r="J699" s="92">
        <v>2</v>
      </c>
      <c r="K699" s="92">
        <v>41.5792</v>
      </c>
      <c r="L699" s="92" t="s">
        <v>78</v>
      </c>
      <c r="M699" s="92" t="s">
        <v>90</v>
      </c>
      <c r="N699" s="92" t="s">
        <v>83</v>
      </c>
      <c r="O699" s="92" t="b">
        <v>0</v>
      </c>
      <c r="P699" s="92"/>
      <c r="Q699" s="92" t="s">
        <v>84</v>
      </c>
      <c r="R699" s="92" t="s">
        <v>85</v>
      </c>
      <c r="S699" s="92" t="b">
        <v>0</v>
      </c>
      <c r="T699" s="100">
        <v>1</v>
      </c>
      <c r="U699" s="100">
        <v>1.3486348730126111E+19</v>
      </c>
      <c r="V699" s="100"/>
    </row>
    <row r="700" spans="4:22" ht="15" customHeight="1">
      <c r="D700" s="98" t="b">
        <v>0</v>
      </c>
      <c r="E700" s="93">
        <v>1</v>
      </c>
      <c r="F700" s="91">
        <v>1</v>
      </c>
      <c r="G700" s="91" t="s">
        <v>81</v>
      </c>
      <c r="H700" s="92">
        <v>40</v>
      </c>
      <c r="I700" s="92">
        <v>0</v>
      </c>
      <c r="J700" s="92">
        <v>0</v>
      </c>
      <c r="K700" s="92">
        <v>153.46250000000001</v>
      </c>
      <c r="L700" s="92" t="s">
        <v>75</v>
      </c>
      <c r="M700" s="92" t="s">
        <v>82</v>
      </c>
      <c r="N700" s="92" t="s">
        <v>83</v>
      </c>
      <c r="O700" s="92" t="b">
        <v>0</v>
      </c>
      <c r="P700" s="92" t="s">
        <v>78</v>
      </c>
      <c r="Q700" s="92" t="s">
        <v>79</v>
      </c>
      <c r="R700" s="92" t="s">
        <v>85</v>
      </c>
      <c r="S700" s="92" t="b">
        <v>1</v>
      </c>
      <c r="T700" s="100">
        <v>0</v>
      </c>
      <c r="U700" s="100">
        <v>1.0623609297152713E+19</v>
      </c>
      <c r="V700" s="100"/>
    </row>
    <row r="701" spans="4:22" ht="15" customHeight="1">
      <c r="D701" s="98" t="b">
        <v>0</v>
      </c>
      <c r="E701" s="93">
        <v>0</v>
      </c>
      <c r="F701" s="91">
        <v>3</v>
      </c>
      <c r="G701" s="91" t="s">
        <v>81</v>
      </c>
      <c r="H701" s="92">
        <v>39</v>
      </c>
      <c r="I701" s="92">
        <v>1</v>
      </c>
      <c r="J701" s="92">
        <v>5</v>
      </c>
      <c r="K701" s="92">
        <v>31.274999999999999</v>
      </c>
      <c r="L701" s="92" t="s">
        <v>75</v>
      </c>
      <c r="M701" s="92" t="s">
        <v>76</v>
      </c>
      <c r="N701" s="92" t="s">
        <v>83</v>
      </c>
      <c r="O701" s="92" t="b">
        <v>0</v>
      </c>
      <c r="P701" s="92"/>
      <c r="Q701" s="92" t="s">
        <v>79</v>
      </c>
      <c r="R701" s="92" t="s">
        <v>80</v>
      </c>
      <c r="S701" s="92" t="b">
        <v>0</v>
      </c>
      <c r="T701" s="100">
        <v>1</v>
      </c>
      <c r="U701" s="100">
        <v>8.7569367734089708E+18</v>
      </c>
      <c r="V701" s="100"/>
    </row>
    <row r="702" spans="4:22" ht="15" customHeight="1">
      <c r="D702" s="98" t="b">
        <v>0</v>
      </c>
      <c r="E702" s="93">
        <v>0</v>
      </c>
      <c r="F702" s="91">
        <v>3</v>
      </c>
      <c r="G702" s="91" t="s">
        <v>74</v>
      </c>
      <c r="H702" s="92"/>
      <c r="I702" s="92">
        <v>0</v>
      </c>
      <c r="J702" s="92">
        <v>0</v>
      </c>
      <c r="K702" s="92">
        <v>7.05</v>
      </c>
      <c r="L702" s="92" t="s">
        <v>75</v>
      </c>
      <c r="M702" s="92" t="s">
        <v>76</v>
      </c>
      <c r="N702" s="92" t="s">
        <v>77</v>
      </c>
      <c r="O702" s="92" t="b">
        <v>1</v>
      </c>
      <c r="P702" s="92"/>
      <c r="Q702" s="92" t="s">
        <v>79</v>
      </c>
      <c r="R702" s="92" t="s">
        <v>80</v>
      </c>
      <c r="S702" s="92" t="b">
        <v>1</v>
      </c>
      <c r="T702" s="100">
        <v>1</v>
      </c>
      <c r="U702" s="100">
        <v>1.63042123851789E+19</v>
      </c>
      <c r="V702" s="100"/>
    </row>
    <row r="703" spans="4:22" ht="15" customHeight="1">
      <c r="D703" s="98" t="b">
        <v>0</v>
      </c>
      <c r="E703" s="93">
        <v>1</v>
      </c>
      <c r="F703" s="91">
        <v>3</v>
      </c>
      <c r="G703" s="91" t="s">
        <v>81</v>
      </c>
      <c r="H703" s="92"/>
      <c r="I703" s="92">
        <v>1</v>
      </c>
      <c r="J703" s="92">
        <v>0</v>
      </c>
      <c r="K703" s="92">
        <v>15.5</v>
      </c>
      <c r="L703" s="92" t="s">
        <v>86</v>
      </c>
      <c r="M703" s="92" t="s">
        <v>76</v>
      </c>
      <c r="N703" s="92" t="s">
        <v>83</v>
      </c>
      <c r="O703" s="92" t="b">
        <v>0</v>
      </c>
      <c r="P703" s="92"/>
      <c r="Q703" s="92" t="s">
        <v>87</v>
      </c>
      <c r="R703" s="92" t="s">
        <v>85</v>
      </c>
      <c r="S703" s="92" t="b">
        <v>0</v>
      </c>
      <c r="T703" s="100">
        <v>1</v>
      </c>
      <c r="U703" s="100">
        <v>3.2425118733691351E+18</v>
      </c>
      <c r="V703" s="100"/>
    </row>
    <row r="704" spans="4:22" ht="15" customHeight="1">
      <c r="D704" s="98" t="b">
        <v>0</v>
      </c>
      <c r="E704" s="93">
        <v>0</v>
      </c>
      <c r="F704" s="91">
        <v>3</v>
      </c>
      <c r="G704" s="91" t="s">
        <v>74</v>
      </c>
      <c r="H704" s="92"/>
      <c r="I704" s="92">
        <v>0</v>
      </c>
      <c r="J704" s="92">
        <v>0</v>
      </c>
      <c r="K704" s="92">
        <v>7.75</v>
      </c>
      <c r="L704" s="92" t="s">
        <v>86</v>
      </c>
      <c r="M704" s="92" t="s">
        <v>76</v>
      </c>
      <c r="N704" s="92" t="s">
        <v>77</v>
      </c>
      <c r="O704" s="92" t="b">
        <v>1</v>
      </c>
      <c r="P704" s="92"/>
      <c r="Q704" s="92" t="s">
        <v>87</v>
      </c>
      <c r="R704" s="92" t="s">
        <v>80</v>
      </c>
      <c r="S704" s="92" t="b">
        <v>1</v>
      </c>
      <c r="T704" s="100">
        <v>1</v>
      </c>
      <c r="U704" s="100">
        <v>1.8659124076202463E+18</v>
      </c>
      <c r="V704" s="100"/>
    </row>
    <row r="705" spans="4:22" ht="15" customHeight="1">
      <c r="D705" s="98" t="b">
        <v>0</v>
      </c>
      <c r="E705" s="93">
        <v>0</v>
      </c>
      <c r="F705" s="91">
        <v>3</v>
      </c>
      <c r="G705" s="91" t="s">
        <v>74</v>
      </c>
      <c r="H705" s="92">
        <v>35</v>
      </c>
      <c r="I705" s="92">
        <v>0</v>
      </c>
      <c r="J705" s="92">
        <v>0</v>
      </c>
      <c r="K705" s="92">
        <v>8.0500000000000007</v>
      </c>
      <c r="L705" s="92" t="s">
        <v>75</v>
      </c>
      <c r="M705" s="92" t="s">
        <v>76</v>
      </c>
      <c r="N705" s="92" t="s">
        <v>77</v>
      </c>
      <c r="O705" s="92" t="b">
        <v>1</v>
      </c>
      <c r="P705" s="92"/>
      <c r="Q705" s="92" t="s">
        <v>79</v>
      </c>
      <c r="R705" s="92" t="s">
        <v>80</v>
      </c>
      <c r="S705" s="92" t="b">
        <v>1</v>
      </c>
      <c r="T705" s="100">
        <v>1</v>
      </c>
      <c r="U705" s="100">
        <v>6.1054175316603904E+18</v>
      </c>
      <c r="V705" s="100"/>
    </row>
    <row r="706" spans="4:22" ht="15" customHeight="1">
      <c r="D706" s="98" t="b">
        <v>0</v>
      </c>
      <c r="E706" s="93">
        <v>1</v>
      </c>
      <c r="F706" s="91">
        <v>2</v>
      </c>
      <c r="G706" s="91" t="s">
        <v>81</v>
      </c>
      <c r="H706" s="92">
        <v>24</v>
      </c>
      <c r="I706" s="92">
        <v>1</v>
      </c>
      <c r="J706" s="92">
        <v>2</v>
      </c>
      <c r="K706" s="92">
        <v>65</v>
      </c>
      <c r="L706" s="92" t="s">
        <v>75</v>
      </c>
      <c r="M706" s="92" t="s">
        <v>90</v>
      </c>
      <c r="N706" s="92" t="s">
        <v>83</v>
      </c>
      <c r="O706" s="92" t="b">
        <v>0</v>
      </c>
      <c r="P706" s="92"/>
      <c r="Q706" s="92" t="s">
        <v>79</v>
      </c>
      <c r="R706" s="92" t="s">
        <v>85</v>
      </c>
      <c r="S706" s="92" t="b">
        <v>0</v>
      </c>
      <c r="T706" s="100">
        <v>1</v>
      </c>
      <c r="U706" s="100">
        <v>8.158273772862762E+18</v>
      </c>
      <c r="V706" s="100"/>
    </row>
    <row r="707" spans="4:22" ht="15" customHeight="1">
      <c r="D707" s="98" t="b">
        <v>0</v>
      </c>
      <c r="E707" s="93">
        <v>0</v>
      </c>
      <c r="F707" s="91">
        <v>3</v>
      </c>
      <c r="G707" s="91" t="s">
        <v>74</v>
      </c>
      <c r="H707" s="92">
        <v>34</v>
      </c>
      <c r="I707" s="92">
        <v>1</v>
      </c>
      <c r="J707" s="92">
        <v>1</v>
      </c>
      <c r="K707" s="92">
        <v>14.4</v>
      </c>
      <c r="L707" s="92" t="s">
        <v>75</v>
      </c>
      <c r="M707" s="92" t="s">
        <v>76</v>
      </c>
      <c r="N707" s="92" t="s">
        <v>77</v>
      </c>
      <c r="O707" s="92" t="b">
        <v>1</v>
      </c>
      <c r="P707" s="92"/>
      <c r="Q707" s="92" t="s">
        <v>79</v>
      </c>
      <c r="R707" s="92" t="s">
        <v>80</v>
      </c>
      <c r="S707" s="92" t="b">
        <v>0</v>
      </c>
      <c r="T707" s="100">
        <v>1</v>
      </c>
      <c r="U707" s="100">
        <v>6.8697245165062287E+18</v>
      </c>
      <c r="V707" s="100"/>
    </row>
    <row r="708" spans="4:22" ht="15" customHeight="1">
      <c r="D708" s="98" t="b">
        <v>0</v>
      </c>
      <c r="E708" s="93">
        <v>0</v>
      </c>
      <c r="F708" s="91">
        <v>3</v>
      </c>
      <c r="G708" s="91" t="s">
        <v>81</v>
      </c>
      <c r="H708" s="92">
        <v>26</v>
      </c>
      <c r="I708" s="92">
        <v>1</v>
      </c>
      <c r="J708" s="92">
        <v>0</v>
      </c>
      <c r="K708" s="92">
        <v>16.100000000000001</v>
      </c>
      <c r="L708" s="92" t="s">
        <v>75</v>
      </c>
      <c r="M708" s="92" t="s">
        <v>76</v>
      </c>
      <c r="N708" s="92" t="s">
        <v>83</v>
      </c>
      <c r="O708" s="92" t="b">
        <v>0</v>
      </c>
      <c r="P708" s="92"/>
      <c r="Q708" s="92" t="s">
        <v>79</v>
      </c>
      <c r="R708" s="92" t="s">
        <v>80</v>
      </c>
      <c r="S708" s="92" t="b">
        <v>0</v>
      </c>
      <c r="T708" s="100">
        <v>1</v>
      </c>
      <c r="U708" s="100">
        <v>1.7309370153976758E+19</v>
      </c>
      <c r="V708" s="100"/>
    </row>
    <row r="709" spans="4:22" ht="15" customHeight="1">
      <c r="D709" s="98" t="b">
        <v>0</v>
      </c>
      <c r="E709" s="93">
        <v>1</v>
      </c>
      <c r="F709" s="91">
        <v>2</v>
      </c>
      <c r="G709" s="91" t="s">
        <v>81</v>
      </c>
      <c r="H709" s="92">
        <v>4</v>
      </c>
      <c r="I709" s="92">
        <v>2</v>
      </c>
      <c r="J709" s="92">
        <v>1</v>
      </c>
      <c r="K709" s="92">
        <v>39</v>
      </c>
      <c r="L709" s="92" t="s">
        <v>75</v>
      </c>
      <c r="M709" s="92" t="s">
        <v>90</v>
      </c>
      <c r="N709" s="92" t="s">
        <v>89</v>
      </c>
      <c r="O709" s="92" t="b">
        <v>0</v>
      </c>
      <c r="P709" s="92" t="s">
        <v>95</v>
      </c>
      <c r="Q709" s="92" t="s">
        <v>79</v>
      </c>
      <c r="R709" s="92" t="s">
        <v>85</v>
      </c>
      <c r="S709" s="92" t="b">
        <v>0</v>
      </c>
      <c r="T709" s="100">
        <v>0</v>
      </c>
      <c r="U709" s="100">
        <v>1.0670468742556064E+19</v>
      </c>
      <c r="V709" s="100"/>
    </row>
    <row r="710" spans="4:22" ht="15" customHeight="1">
      <c r="D710" s="98" t="b">
        <v>0</v>
      </c>
      <c r="E710" s="93">
        <v>0</v>
      </c>
      <c r="F710" s="91">
        <v>2</v>
      </c>
      <c r="G710" s="91" t="s">
        <v>74</v>
      </c>
      <c r="H710" s="92">
        <v>26</v>
      </c>
      <c r="I710" s="92">
        <v>0</v>
      </c>
      <c r="J710" s="92">
        <v>0</v>
      </c>
      <c r="K710" s="92">
        <v>10.5</v>
      </c>
      <c r="L710" s="92" t="s">
        <v>75</v>
      </c>
      <c r="M710" s="92" t="s">
        <v>90</v>
      </c>
      <c r="N710" s="92" t="s">
        <v>77</v>
      </c>
      <c r="O710" s="92" t="b">
        <v>1</v>
      </c>
      <c r="P710" s="92"/>
      <c r="Q710" s="92" t="s">
        <v>79</v>
      </c>
      <c r="R710" s="92" t="s">
        <v>80</v>
      </c>
      <c r="S710" s="92" t="b">
        <v>1</v>
      </c>
      <c r="T710" s="100">
        <v>1</v>
      </c>
      <c r="U710" s="100">
        <v>4.737166790690496E+16</v>
      </c>
      <c r="V710" s="100"/>
    </row>
    <row r="711" spans="4:22" ht="15" customHeight="1">
      <c r="D711" s="98" t="b">
        <v>0</v>
      </c>
      <c r="E711" s="93">
        <v>0</v>
      </c>
      <c r="F711" s="91">
        <v>3</v>
      </c>
      <c r="G711" s="91" t="s">
        <v>74</v>
      </c>
      <c r="H711" s="92">
        <v>27</v>
      </c>
      <c r="I711" s="92">
        <v>1</v>
      </c>
      <c r="J711" s="92">
        <v>0</v>
      </c>
      <c r="K711" s="92">
        <v>14.4542</v>
      </c>
      <c r="L711" s="92" t="s">
        <v>78</v>
      </c>
      <c r="M711" s="92" t="s">
        <v>76</v>
      </c>
      <c r="N711" s="92" t="s">
        <v>77</v>
      </c>
      <c r="O711" s="92" t="b">
        <v>1</v>
      </c>
      <c r="P711" s="92"/>
      <c r="Q711" s="92" t="s">
        <v>84</v>
      </c>
      <c r="R711" s="92" t="s">
        <v>80</v>
      </c>
      <c r="S711" s="92" t="b">
        <v>0</v>
      </c>
      <c r="T711" s="100">
        <v>1</v>
      </c>
      <c r="U711" s="100">
        <v>7.4569574532852521E+18</v>
      </c>
      <c r="V711" s="100"/>
    </row>
    <row r="712" spans="4:22" ht="15" customHeight="1">
      <c r="D712" s="98" t="b">
        <v>0</v>
      </c>
      <c r="E712" s="93">
        <v>1</v>
      </c>
      <c r="F712" s="91">
        <v>1</v>
      </c>
      <c r="G712" s="91" t="s">
        <v>74</v>
      </c>
      <c r="H712" s="92">
        <v>42</v>
      </c>
      <c r="I712" s="92">
        <v>1</v>
      </c>
      <c r="J712" s="92">
        <v>0</v>
      </c>
      <c r="K712" s="92">
        <v>52.554200000000002</v>
      </c>
      <c r="L712" s="92" t="s">
        <v>75</v>
      </c>
      <c r="M712" s="92" t="s">
        <v>82</v>
      </c>
      <c r="N712" s="92" t="s">
        <v>77</v>
      </c>
      <c r="O712" s="92" t="b">
        <v>1</v>
      </c>
      <c r="P712" s="92" t="s">
        <v>92</v>
      </c>
      <c r="Q712" s="92" t="s">
        <v>79</v>
      </c>
      <c r="R712" s="92" t="s">
        <v>85</v>
      </c>
      <c r="S712" s="92" t="b">
        <v>0</v>
      </c>
      <c r="T712" s="100">
        <v>0</v>
      </c>
      <c r="U712" s="100">
        <v>3.4548864607016131E+18</v>
      </c>
      <c r="V712" s="100"/>
    </row>
    <row r="713" spans="4:22" ht="15" customHeight="1">
      <c r="D713" s="98" t="b">
        <v>0</v>
      </c>
      <c r="E713" s="93">
        <v>1</v>
      </c>
      <c r="F713" s="91">
        <v>3</v>
      </c>
      <c r="G713" s="91" t="s">
        <v>74</v>
      </c>
      <c r="H713" s="92">
        <v>20</v>
      </c>
      <c r="I713" s="92">
        <v>1</v>
      </c>
      <c r="J713" s="92">
        <v>1</v>
      </c>
      <c r="K713" s="92">
        <v>15.7417</v>
      </c>
      <c r="L713" s="92" t="s">
        <v>78</v>
      </c>
      <c r="M713" s="92" t="s">
        <v>76</v>
      </c>
      <c r="N713" s="92" t="s">
        <v>77</v>
      </c>
      <c r="O713" s="92" t="b">
        <v>1</v>
      </c>
      <c r="P713" s="92"/>
      <c r="Q713" s="92" t="s">
        <v>84</v>
      </c>
      <c r="R713" s="92" t="s">
        <v>85</v>
      </c>
      <c r="S713" s="92" t="b">
        <v>0</v>
      </c>
      <c r="T713" s="100">
        <v>1</v>
      </c>
      <c r="U713" s="100">
        <v>1.3918137373893829E+19</v>
      </c>
      <c r="V713" s="100"/>
    </row>
    <row r="714" spans="4:22" ht="15" customHeight="1">
      <c r="D714" s="98" t="b">
        <v>0</v>
      </c>
      <c r="E714" s="93">
        <v>0</v>
      </c>
      <c r="F714" s="91">
        <v>3</v>
      </c>
      <c r="G714" s="91" t="s">
        <v>74</v>
      </c>
      <c r="H714" s="92">
        <v>21</v>
      </c>
      <c r="I714" s="92">
        <v>0</v>
      </c>
      <c r="J714" s="92">
        <v>0</v>
      </c>
      <c r="K714" s="92">
        <v>7.8541999999999996</v>
      </c>
      <c r="L714" s="92" t="s">
        <v>75</v>
      </c>
      <c r="M714" s="92" t="s">
        <v>76</v>
      </c>
      <c r="N714" s="92" t="s">
        <v>77</v>
      </c>
      <c r="O714" s="92" t="b">
        <v>1</v>
      </c>
      <c r="P714" s="92"/>
      <c r="Q714" s="92" t="s">
        <v>79</v>
      </c>
      <c r="R714" s="92" t="s">
        <v>80</v>
      </c>
      <c r="S714" s="92" t="b">
        <v>1</v>
      </c>
      <c r="T714" s="100">
        <v>1</v>
      </c>
      <c r="U714" s="100">
        <v>9.4349352340833567E+18</v>
      </c>
      <c r="V714" s="100"/>
    </row>
    <row r="715" spans="4:22" ht="15" customHeight="1">
      <c r="D715" s="98" t="b">
        <v>0</v>
      </c>
      <c r="E715" s="93">
        <v>0</v>
      </c>
      <c r="F715" s="91">
        <v>3</v>
      </c>
      <c r="G715" s="91" t="s">
        <v>74</v>
      </c>
      <c r="H715" s="92">
        <v>21</v>
      </c>
      <c r="I715" s="92">
        <v>0</v>
      </c>
      <c r="J715" s="92">
        <v>0</v>
      </c>
      <c r="K715" s="92">
        <v>16.100000000000001</v>
      </c>
      <c r="L715" s="92" t="s">
        <v>75</v>
      </c>
      <c r="M715" s="92" t="s">
        <v>76</v>
      </c>
      <c r="N715" s="92" t="s">
        <v>77</v>
      </c>
      <c r="O715" s="92" t="b">
        <v>1</v>
      </c>
      <c r="P715" s="92"/>
      <c r="Q715" s="92" t="s">
        <v>79</v>
      </c>
      <c r="R715" s="92" t="s">
        <v>80</v>
      </c>
      <c r="S715" s="92" t="b">
        <v>1</v>
      </c>
      <c r="T715" s="100">
        <v>1</v>
      </c>
      <c r="U715" s="100">
        <v>1.7007499108786895E+19</v>
      </c>
      <c r="V715" s="100"/>
    </row>
    <row r="716" spans="4:22" ht="15" customHeight="1">
      <c r="D716" s="98" t="b">
        <v>0</v>
      </c>
      <c r="E716" s="93">
        <v>0</v>
      </c>
      <c r="F716" s="91">
        <v>1</v>
      </c>
      <c r="G716" s="91" t="s">
        <v>74</v>
      </c>
      <c r="H716" s="92">
        <v>61</v>
      </c>
      <c r="I716" s="92">
        <v>0</v>
      </c>
      <c r="J716" s="92">
        <v>0</v>
      </c>
      <c r="K716" s="92">
        <v>32.320799999999998</v>
      </c>
      <c r="L716" s="92" t="s">
        <v>75</v>
      </c>
      <c r="M716" s="92" t="s">
        <v>82</v>
      </c>
      <c r="N716" s="92" t="s">
        <v>77</v>
      </c>
      <c r="O716" s="92" t="b">
        <v>1</v>
      </c>
      <c r="P716" s="92" t="s">
        <v>92</v>
      </c>
      <c r="Q716" s="92" t="s">
        <v>79</v>
      </c>
      <c r="R716" s="92" t="s">
        <v>80</v>
      </c>
      <c r="S716" s="92" t="b">
        <v>1</v>
      </c>
      <c r="T716" s="100">
        <v>0</v>
      </c>
      <c r="U716" s="100">
        <v>7.9412236899803187E+18</v>
      </c>
      <c r="V716" s="100"/>
    </row>
    <row r="717" spans="4:22" ht="15" customHeight="1">
      <c r="D717" s="98" t="b">
        <v>0</v>
      </c>
      <c r="E717" s="93">
        <v>0</v>
      </c>
      <c r="F717" s="91">
        <v>2</v>
      </c>
      <c r="G717" s="91" t="s">
        <v>74</v>
      </c>
      <c r="H717" s="92">
        <v>57</v>
      </c>
      <c r="I717" s="92">
        <v>0</v>
      </c>
      <c r="J717" s="92">
        <v>0</v>
      </c>
      <c r="K717" s="92">
        <v>12.35</v>
      </c>
      <c r="L717" s="92" t="s">
        <v>86</v>
      </c>
      <c r="M717" s="92" t="s">
        <v>90</v>
      </c>
      <c r="N717" s="92" t="s">
        <v>77</v>
      </c>
      <c r="O717" s="92" t="b">
        <v>1</v>
      </c>
      <c r="P717" s="92"/>
      <c r="Q717" s="92" t="s">
        <v>87</v>
      </c>
      <c r="R717" s="92" t="s">
        <v>80</v>
      </c>
      <c r="S717" s="92" t="b">
        <v>1</v>
      </c>
      <c r="T717" s="100">
        <v>1</v>
      </c>
      <c r="U717" s="100">
        <v>1.4509715401133134E+19</v>
      </c>
      <c r="V717" s="100"/>
    </row>
    <row r="718" spans="4:22" ht="15" customHeight="1">
      <c r="D718" s="98" t="b">
        <v>0</v>
      </c>
      <c r="E718" s="93">
        <v>1</v>
      </c>
      <c r="F718" s="91">
        <v>1</v>
      </c>
      <c r="G718" s="91" t="s">
        <v>81</v>
      </c>
      <c r="H718" s="92">
        <v>21</v>
      </c>
      <c r="I718" s="92">
        <v>0</v>
      </c>
      <c r="J718" s="92">
        <v>0</v>
      </c>
      <c r="K718" s="92">
        <v>77.958299999999994</v>
      </c>
      <c r="L718" s="92" t="s">
        <v>75</v>
      </c>
      <c r="M718" s="92" t="s">
        <v>82</v>
      </c>
      <c r="N718" s="92" t="s">
        <v>83</v>
      </c>
      <c r="O718" s="92" t="b">
        <v>0</v>
      </c>
      <c r="P718" s="92" t="s">
        <v>92</v>
      </c>
      <c r="Q718" s="92" t="s">
        <v>79</v>
      </c>
      <c r="R718" s="92" t="s">
        <v>85</v>
      </c>
      <c r="S718" s="92" t="b">
        <v>1</v>
      </c>
      <c r="T718" s="100">
        <v>0</v>
      </c>
      <c r="U718" s="100">
        <v>1.0503570029195817E+18</v>
      </c>
      <c r="V718" s="100"/>
    </row>
    <row r="719" spans="4:22" ht="15" customHeight="1">
      <c r="D719" s="98" t="b">
        <v>0</v>
      </c>
      <c r="E719" s="93">
        <v>0</v>
      </c>
      <c r="F719" s="91">
        <v>3</v>
      </c>
      <c r="G719" s="91" t="s">
        <v>74</v>
      </c>
      <c r="H719" s="92">
        <v>26</v>
      </c>
      <c r="I719" s="92">
        <v>0</v>
      </c>
      <c r="J719" s="92">
        <v>0</v>
      </c>
      <c r="K719" s="92">
        <v>7.8958000000000004</v>
      </c>
      <c r="L719" s="92" t="s">
        <v>75</v>
      </c>
      <c r="M719" s="92" t="s">
        <v>76</v>
      </c>
      <c r="N719" s="92" t="s">
        <v>77</v>
      </c>
      <c r="O719" s="92" t="b">
        <v>1</v>
      </c>
      <c r="P719" s="92"/>
      <c r="Q719" s="92" t="s">
        <v>79</v>
      </c>
      <c r="R719" s="92" t="s">
        <v>80</v>
      </c>
      <c r="S719" s="92" t="b">
        <v>1</v>
      </c>
      <c r="T719" s="100">
        <v>1</v>
      </c>
      <c r="U719" s="100">
        <v>1.2442408463558474E+19</v>
      </c>
      <c r="V719" s="100"/>
    </row>
    <row r="720" spans="4:22" ht="15" customHeight="1">
      <c r="D720" s="98" t="b">
        <v>0</v>
      </c>
      <c r="E720" s="93">
        <v>0</v>
      </c>
      <c r="F720" s="91">
        <v>3</v>
      </c>
      <c r="G720" s="91" t="s">
        <v>74</v>
      </c>
      <c r="H720" s="92"/>
      <c r="I720" s="92">
        <v>0</v>
      </c>
      <c r="J720" s="92">
        <v>0</v>
      </c>
      <c r="K720" s="92">
        <v>7.7332999999999998</v>
      </c>
      <c r="L720" s="92" t="s">
        <v>86</v>
      </c>
      <c r="M720" s="92" t="s">
        <v>76</v>
      </c>
      <c r="N720" s="92" t="s">
        <v>77</v>
      </c>
      <c r="O720" s="92" t="b">
        <v>1</v>
      </c>
      <c r="P720" s="92"/>
      <c r="Q720" s="92" t="s">
        <v>87</v>
      </c>
      <c r="R720" s="92" t="s">
        <v>80</v>
      </c>
      <c r="S720" s="92" t="b">
        <v>1</v>
      </c>
      <c r="T720" s="100">
        <v>1</v>
      </c>
      <c r="U720" s="100">
        <v>4.0885834131449999E+18</v>
      </c>
      <c r="V720" s="100"/>
    </row>
    <row r="721" spans="4:22" ht="15" customHeight="1">
      <c r="D721" s="98" t="b">
        <v>0</v>
      </c>
      <c r="E721" s="93">
        <v>1</v>
      </c>
      <c r="F721" s="91">
        <v>1</v>
      </c>
      <c r="G721" s="91" t="s">
        <v>74</v>
      </c>
      <c r="H721" s="92">
        <v>80</v>
      </c>
      <c r="I721" s="92">
        <v>0</v>
      </c>
      <c r="J721" s="92">
        <v>0</v>
      </c>
      <c r="K721" s="92">
        <v>30</v>
      </c>
      <c r="L721" s="92" t="s">
        <v>75</v>
      </c>
      <c r="M721" s="92" t="s">
        <v>82</v>
      </c>
      <c r="N721" s="92" t="s">
        <v>77</v>
      </c>
      <c r="O721" s="92" t="b">
        <v>1</v>
      </c>
      <c r="P721" s="92" t="s">
        <v>93</v>
      </c>
      <c r="Q721" s="92" t="s">
        <v>79</v>
      </c>
      <c r="R721" s="92" t="s">
        <v>85</v>
      </c>
      <c r="S721" s="92" t="b">
        <v>1</v>
      </c>
      <c r="T721" s="100">
        <v>0</v>
      </c>
      <c r="U721" s="100">
        <v>8.5675077482033162E+18</v>
      </c>
      <c r="V721" s="100"/>
    </row>
    <row r="722" spans="4:22" ht="15" customHeight="1">
      <c r="D722" s="98" t="b">
        <v>0</v>
      </c>
      <c r="E722" s="93">
        <v>0</v>
      </c>
      <c r="F722" s="91">
        <v>3</v>
      </c>
      <c r="G722" s="91" t="s">
        <v>74</v>
      </c>
      <c r="H722" s="92">
        <v>51</v>
      </c>
      <c r="I722" s="92">
        <v>0</v>
      </c>
      <c r="J722" s="92">
        <v>0</v>
      </c>
      <c r="K722" s="92">
        <v>7.0541999999999998</v>
      </c>
      <c r="L722" s="92" t="s">
        <v>75</v>
      </c>
      <c r="M722" s="92" t="s">
        <v>76</v>
      </c>
      <c r="N722" s="92" t="s">
        <v>77</v>
      </c>
      <c r="O722" s="92" t="b">
        <v>1</v>
      </c>
      <c r="P722" s="92"/>
      <c r="Q722" s="92" t="s">
        <v>79</v>
      </c>
      <c r="R722" s="92" t="s">
        <v>80</v>
      </c>
      <c r="S722" s="92" t="b">
        <v>1</v>
      </c>
      <c r="T722" s="100">
        <v>1</v>
      </c>
      <c r="U722" s="100">
        <v>1.0259038224853588E+19</v>
      </c>
      <c r="V722" s="100"/>
    </row>
    <row r="723" spans="4:22" ht="15" customHeight="1">
      <c r="D723" s="98" t="b">
        <v>0</v>
      </c>
      <c r="E723" s="93">
        <v>1</v>
      </c>
      <c r="F723" s="91">
        <v>1</v>
      </c>
      <c r="G723" s="91" t="s">
        <v>74</v>
      </c>
      <c r="H723" s="92">
        <v>32</v>
      </c>
      <c r="I723" s="92">
        <v>0</v>
      </c>
      <c r="J723" s="92">
        <v>0</v>
      </c>
      <c r="K723" s="92">
        <v>30.5</v>
      </c>
      <c r="L723" s="92" t="s">
        <v>78</v>
      </c>
      <c r="M723" s="92" t="s">
        <v>82</v>
      </c>
      <c r="N723" s="92" t="s">
        <v>77</v>
      </c>
      <c r="O723" s="92" t="b">
        <v>1</v>
      </c>
      <c r="P723" s="92" t="s">
        <v>94</v>
      </c>
      <c r="Q723" s="92" t="s">
        <v>84</v>
      </c>
      <c r="R723" s="92" t="s">
        <v>85</v>
      </c>
      <c r="S723" s="92" t="b">
        <v>1</v>
      </c>
      <c r="T723" s="100">
        <v>0</v>
      </c>
      <c r="U723" s="100">
        <v>7.9250296110752113E+18</v>
      </c>
      <c r="V723" s="100"/>
    </row>
    <row r="724" spans="4:22" ht="15" customHeight="1">
      <c r="D724" s="98" t="b">
        <v>0</v>
      </c>
      <c r="E724" s="93">
        <v>0</v>
      </c>
      <c r="F724" s="91">
        <v>1</v>
      </c>
      <c r="G724" s="91" t="s">
        <v>74</v>
      </c>
      <c r="H724" s="92"/>
      <c r="I724" s="92">
        <v>0</v>
      </c>
      <c r="J724" s="92">
        <v>0</v>
      </c>
      <c r="K724" s="92">
        <v>0</v>
      </c>
      <c r="L724" s="92" t="s">
        <v>75</v>
      </c>
      <c r="M724" s="92" t="s">
        <v>82</v>
      </c>
      <c r="N724" s="92" t="s">
        <v>77</v>
      </c>
      <c r="O724" s="92" t="b">
        <v>1</v>
      </c>
      <c r="P724" s="92"/>
      <c r="Q724" s="92" t="s">
        <v>79</v>
      </c>
      <c r="R724" s="92" t="s">
        <v>80</v>
      </c>
      <c r="S724" s="92" t="b">
        <v>1</v>
      </c>
      <c r="T724" s="100">
        <v>1</v>
      </c>
      <c r="U724" s="100">
        <v>1.4067241277124749E+19</v>
      </c>
      <c r="V724" s="100"/>
    </row>
    <row r="725" spans="4:22" ht="15" customHeight="1">
      <c r="D725" s="98" t="b">
        <v>0</v>
      </c>
      <c r="E725" s="93">
        <v>0</v>
      </c>
      <c r="F725" s="91">
        <v>3</v>
      </c>
      <c r="G725" s="91" t="s">
        <v>81</v>
      </c>
      <c r="H725" s="92">
        <v>9</v>
      </c>
      <c r="I725" s="92">
        <v>3</v>
      </c>
      <c r="J725" s="92">
        <v>2</v>
      </c>
      <c r="K725" s="92">
        <v>27.9</v>
      </c>
      <c r="L725" s="92" t="s">
        <v>75</v>
      </c>
      <c r="M725" s="92" t="s">
        <v>76</v>
      </c>
      <c r="N725" s="92" t="s">
        <v>89</v>
      </c>
      <c r="O725" s="92" t="b">
        <v>0</v>
      </c>
      <c r="P725" s="92"/>
      <c r="Q725" s="92" t="s">
        <v>79</v>
      </c>
      <c r="R725" s="92" t="s">
        <v>80</v>
      </c>
      <c r="S725" s="92" t="b">
        <v>0</v>
      </c>
      <c r="T725" s="100">
        <v>1</v>
      </c>
      <c r="U725" s="100">
        <v>8.567343807999572E+18</v>
      </c>
      <c r="V725" s="100"/>
    </row>
    <row r="726" spans="4:22" ht="15" customHeight="1">
      <c r="D726" s="98" t="b">
        <v>0</v>
      </c>
      <c r="E726" s="93">
        <v>1</v>
      </c>
      <c r="F726" s="91">
        <v>2</v>
      </c>
      <c r="G726" s="91" t="s">
        <v>81</v>
      </c>
      <c r="H726" s="92">
        <v>28</v>
      </c>
      <c r="I726" s="92">
        <v>0</v>
      </c>
      <c r="J726" s="92">
        <v>0</v>
      </c>
      <c r="K726" s="92">
        <v>13</v>
      </c>
      <c r="L726" s="92" t="s">
        <v>75</v>
      </c>
      <c r="M726" s="92" t="s">
        <v>90</v>
      </c>
      <c r="N726" s="92" t="s">
        <v>83</v>
      </c>
      <c r="O726" s="92" t="b">
        <v>0</v>
      </c>
      <c r="P726" s="92"/>
      <c r="Q726" s="92" t="s">
        <v>79</v>
      </c>
      <c r="R726" s="92" t="s">
        <v>85</v>
      </c>
      <c r="S726" s="92" t="b">
        <v>1</v>
      </c>
      <c r="T726" s="100">
        <v>1</v>
      </c>
      <c r="U726" s="100">
        <v>4.504265325952405E+18</v>
      </c>
      <c r="V726" s="100"/>
    </row>
    <row r="727" spans="4:22" ht="15" customHeight="1">
      <c r="D727" s="98" t="b">
        <v>0</v>
      </c>
      <c r="E727" s="93">
        <v>0</v>
      </c>
      <c r="F727" s="91">
        <v>3</v>
      </c>
      <c r="G727" s="91" t="s">
        <v>74</v>
      </c>
      <c r="H727" s="92">
        <v>32</v>
      </c>
      <c r="I727" s="92">
        <v>0</v>
      </c>
      <c r="J727" s="92">
        <v>0</v>
      </c>
      <c r="K727" s="92">
        <v>7.9249999999999998</v>
      </c>
      <c r="L727" s="92" t="s">
        <v>75</v>
      </c>
      <c r="M727" s="92" t="s">
        <v>76</v>
      </c>
      <c r="N727" s="92" t="s">
        <v>77</v>
      </c>
      <c r="O727" s="92" t="b">
        <v>1</v>
      </c>
      <c r="P727" s="92"/>
      <c r="Q727" s="92" t="s">
        <v>79</v>
      </c>
      <c r="R727" s="92" t="s">
        <v>80</v>
      </c>
      <c r="S727" s="92" t="b">
        <v>1</v>
      </c>
      <c r="T727" s="100">
        <v>1</v>
      </c>
      <c r="U727" s="100">
        <v>8.8887784333222513E+18</v>
      </c>
      <c r="V727" s="100"/>
    </row>
    <row r="728" spans="4:22" ht="15" customHeight="1">
      <c r="D728" s="98" t="b">
        <v>0</v>
      </c>
      <c r="E728" s="93">
        <v>0</v>
      </c>
      <c r="F728" s="91">
        <v>2</v>
      </c>
      <c r="G728" s="91" t="s">
        <v>74</v>
      </c>
      <c r="H728" s="92">
        <v>31</v>
      </c>
      <c r="I728" s="92">
        <v>1</v>
      </c>
      <c r="J728" s="92">
        <v>1</v>
      </c>
      <c r="K728" s="92">
        <v>26.25</v>
      </c>
      <c r="L728" s="92" t="s">
        <v>75</v>
      </c>
      <c r="M728" s="92" t="s">
        <v>90</v>
      </c>
      <c r="N728" s="92" t="s">
        <v>77</v>
      </c>
      <c r="O728" s="92" t="b">
        <v>1</v>
      </c>
      <c r="P728" s="92"/>
      <c r="Q728" s="92" t="s">
        <v>79</v>
      </c>
      <c r="R728" s="92" t="s">
        <v>80</v>
      </c>
      <c r="S728" s="92" t="b">
        <v>0</v>
      </c>
      <c r="T728" s="100">
        <v>1</v>
      </c>
      <c r="U728" s="100">
        <v>3.6036808317849953E+18</v>
      </c>
      <c r="V728" s="100"/>
    </row>
    <row r="729" spans="4:22" ht="15" customHeight="1">
      <c r="D729" s="98" t="b">
        <v>0</v>
      </c>
      <c r="E729" s="93">
        <v>0</v>
      </c>
      <c r="F729" s="91">
        <v>3</v>
      </c>
      <c r="G729" s="91" t="s">
        <v>81</v>
      </c>
      <c r="H729" s="92">
        <v>41</v>
      </c>
      <c r="I729" s="92">
        <v>0</v>
      </c>
      <c r="J729" s="92">
        <v>5</v>
      </c>
      <c r="K729" s="92">
        <v>39.6875</v>
      </c>
      <c r="L729" s="92" t="s">
        <v>75</v>
      </c>
      <c r="M729" s="92" t="s">
        <v>76</v>
      </c>
      <c r="N729" s="92" t="s">
        <v>83</v>
      </c>
      <c r="O729" s="92" t="b">
        <v>0</v>
      </c>
      <c r="P729" s="92"/>
      <c r="Q729" s="92" t="s">
        <v>79</v>
      </c>
      <c r="R729" s="92" t="s">
        <v>80</v>
      </c>
      <c r="S729" s="92" t="b">
        <v>0</v>
      </c>
      <c r="T729" s="100">
        <v>1</v>
      </c>
      <c r="U729" s="100">
        <v>1.8002359744720275E+19</v>
      </c>
      <c r="V729" s="100"/>
    </row>
    <row r="730" spans="4:22" ht="15" customHeight="1">
      <c r="D730" s="98" t="b">
        <v>0</v>
      </c>
      <c r="E730" s="93">
        <v>0</v>
      </c>
      <c r="F730" s="91">
        <v>3</v>
      </c>
      <c r="G730" s="91" t="s">
        <v>74</v>
      </c>
      <c r="H730" s="92"/>
      <c r="I730" s="92">
        <v>1</v>
      </c>
      <c r="J730" s="92">
        <v>0</v>
      </c>
      <c r="K730" s="92">
        <v>16.100000000000001</v>
      </c>
      <c r="L730" s="92" t="s">
        <v>75</v>
      </c>
      <c r="M730" s="92" t="s">
        <v>76</v>
      </c>
      <c r="N730" s="92" t="s">
        <v>77</v>
      </c>
      <c r="O730" s="92" t="b">
        <v>1</v>
      </c>
      <c r="P730" s="92"/>
      <c r="Q730" s="92" t="s">
        <v>79</v>
      </c>
      <c r="R730" s="92" t="s">
        <v>80</v>
      </c>
      <c r="S730" s="92" t="b">
        <v>0</v>
      </c>
      <c r="T730" s="100">
        <v>1</v>
      </c>
      <c r="U730" s="100">
        <v>1.565437967343888E+19</v>
      </c>
      <c r="V730" s="100"/>
    </row>
    <row r="731" spans="4:22" ht="15" customHeight="1">
      <c r="D731" s="98" t="b">
        <v>0</v>
      </c>
      <c r="E731" s="93">
        <v>0</v>
      </c>
      <c r="F731" s="91">
        <v>3</v>
      </c>
      <c r="G731" s="91" t="s">
        <v>74</v>
      </c>
      <c r="H731" s="92">
        <v>20</v>
      </c>
      <c r="I731" s="92">
        <v>0</v>
      </c>
      <c r="J731" s="92">
        <v>0</v>
      </c>
      <c r="K731" s="92">
        <v>7.8541999999999996</v>
      </c>
      <c r="L731" s="92" t="s">
        <v>75</v>
      </c>
      <c r="M731" s="92" t="s">
        <v>76</v>
      </c>
      <c r="N731" s="92" t="s">
        <v>77</v>
      </c>
      <c r="O731" s="92" t="b">
        <v>1</v>
      </c>
      <c r="P731" s="92"/>
      <c r="Q731" s="92" t="s">
        <v>79</v>
      </c>
      <c r="R731" s="92" t="s">
        <v>80</v>
      </c>
      <c r="S731" s="92" t="b">
        <v>1</v>
      </c>
      <c r="T731" s="100">
        <v>1</v>
      </c>
      <c r="U731" s="100">
        <v>1.689646702325998E+19</v>
      </c>
      <c r="V731" s="100"/>
    </row>
    <row r="732" spans="4:22" ht="15" customHeight="1">
      <c r="D732" s="98" t="b">
        <v>0</v>
      </c>
      <c r="E732" s="93">
        <v>1</v>
      </c>
      <c r="F732" s="91">
        <v>1</v>
      </c>
      <c r="G732" s="91" t="s">
        <v>81</v>
      </c>
      <c r="H732" s="92">
        <v>24</v>
      </c>
      <c r="I732" s="92">
        <v>0</v>
      </c>
      <c r="J732" s="92">
        <v>0</v>
      </c>
      <c r="K732" s="92">
        <v>69.3</v>
      </c>
      <c r="L732" s="92" t="s">
        <v>78</v>
      </c>
      <c r="M732" s="92" t="s">
        <v>82</v>
      </c>
      <c r="N732" s="92" t="s">
        <v>83</v>
      </c>
      <c r="O732" s="92" t="b">
        <v>0</v>
      </c>
      <c r="P732" s="92" t="s">
        <v>94</v>
      </c>
      <c r="Q732" s="92" t="s">
        <v>84</v>
      </c>
      <c r="R732" s="92" t="s">
        <v>85</v>
      </c>
      <c r="S732" s="92" t="b">
        <v>1</v>
      </c>
      <c r="T732" s="100">
        <v>0</v>
      </c>
      <c r="U732" s="100">
        <v>1.780892925591118E+19</v>
      </c>
      <c r="V732" s="100"/>
    </row>
    <row r="733" spans="4:22" ht="15" customHeight="1">
      <c r="D733" s="98" t="b">
        <v>0</v>
      </c>
      <c r="E733" s="93">
        <v>0</v>
      </c>
      <c r="F733" s="91">
        <v>3</v>
      </c>
      <c r="G733" s="91" t="s">
        <v>81</v>
      </c>
      <c r="H733" s="92">
        <v>2</v>
      </c>
      <c r="I733" s="92">
        <v>3</v>
      </c>
      <c r="J733" s="92">
        <v>2</v>
      </c>
      <c r="K733" s="92">
        <v>27.9</v>
      </c>
      <c r="L733" s="92" t="s">
        <v>75</v>
      </c>
      <c r="M733" s="92" t="s">
        <v>76</v>
      </c>
      <c r="N733" s="92" t="s">
        <v>89</v>
      </c>
      <c r="O733" s="92" t="b">
        <v>0</v>
      </c>
      <c r="P733" s="92"/>
      <c r="Q733" s="92" t="s">
        <v>79</v>
      </c>
      <c r="R733" s="92" t="s">
        <v>80</v>
      </c>
      <c r="S733" s="92" t="b">
        <v>0</v>
      </c>
      <c r="T733" s="100">
        <v>1</v>
      </c>
      <c r="U733" s="100">
        <v>4.7261175689050245E+18</v>
      </c>
      <c r="V733" s="100"/>
    </row>
    <row r="734" spans="4:22" ht="15" customHeight="1">
      <c r="D734" s="98" t="b">
        <v>0</v>
      </c>
      <c r="E734" s="93">
        <v>1</v>
      </c>
      <c r="F734" s="91">
        <v>3</v>
      </c>
      <c r="G734" s="91" t="s">
        <v>74</v>
      </c>
      <c r="H734" s="92"/>
      <c r="I734" s="92">
        <v>0</v>
      </c>
      <c r="J734" s="92">
        <v>0</v>
      </c>
      <c r="K734" s="92">
        <v>56.495800000000003</v>
      </c>
      <c r="L734" s="92" t="s">
        <v>75</v>
      </c>
      <c r="M734" s="92" t="s">
        <v>76</v>
      </c>
      <c r="N734" s="92" t="s">
        <v>77</v>
      </c>
      <c r="O734" s="92" t="b">
        <v>1</v>
      </c>
      <c r="P734" s="92"/>
      <c r="Q734" s="92" t="s">
        <v>79</v>
      </c>
      <c r="R734" s="92" t="s">
        <v>85</v>
      </c>
      <c r="S734" s="92" t="b">
        <v>1</v>
      </c>
      <c r="T734" s="100">
        <v>1</v>
      </c>
      <c r="U734" s="100">
        <v>1.6237976658264005E+18</v>
      </c>
      <c r="V734" s="100"/>
    </row>
    <row r="735" spans="4:22" ht="15" customHeight="1">
      <c r="D735" s="98" t="b">
        <v>0</v>
      </c>
      <c r="E735" s="93">
        <v>1</v>
      </c>
      <c r="F735" s="91">
        <v>1</v>
      </c>
      <c r="G735" s="91" t="s">
        <v>74</v>
      </c>
      <c r="H735" s="92">
        <v>48</v>
      </c>
      <c r="I735" s="92">
        <v>1</v>
      </c>
      <c r="J735" s="92">
        <v>0</v>
      </c>
      <c r="K735" s="92">
        <v>76.729200000000006</v>
      </c>
      <c r="L735" s="92" t="s">
        <v>78</v>
      </c>
      <c r="M735" s="92" t="s">
        <v>82</v>
      </c>
      <c r="N735" s="92" t="s">
        <v>77</v>
      </c>
      <c r="O735" s="92" t="b">
        <v>1</v>
      </c>
      <c r="P735" s="92" t="s">
        <v>92</v>
      </c>
      <c r="Q735" s="92" t="s">
        <v>84</v>
      </c>
      <c r="R735" s="92" t="s">
        <v>85</v>
      </c>
      <c r="S735" s="92" t="b">
        <v>0</v>
      </c>
      <c r="T735" s="100">
        <v>0</v>
      </c>
      <c r="U735" s="100">
        <v>8.8045667360085279E+18</v>
      </c>
      <c r="V735" s="100"/>
    </row>
    <row r="736" spans="4:22" ht="15" customHeight="1">
      <c r="D736" s="98" t="b">
        <v>0</v>
      </c>
      <c r="E736" s="93">
        <v>0</v>
      </c>
      <c r="F736" s="91">
        <v>3</v>
      </c>
      <c r="G736" s="91" t="s">
        <v>74</v>
      </c>
      <c r="H736" s="92">
        <v>19</v>
      </c>
      <c r="I736" s="92">
        <v>0</v>
      </c>
      <c r="J736" s="92">
        <v>0</v>
      </c>
      <c r="K736" s="92">
        <v>7.8958000000000004</v>
      </c>
      <c r="L736" s="92" t="s">
        <v>75</v>
      </c>
      <c r="M736" s="92" t="s">
        <v>76</v>
      </c>
      <c r="N736" s="92" t="s">
        <v>77</v>
      </c>
      <c r="O736" s="92" t="b">
        <v>1</v>
      </c>
      <c r="P736" s="92"/>
      <c r="Q736" s="92" t="s">
        <v>79</v>
      </c>
      <c r="R736" s="92" t="s">
        <v>80</v>
      </c>
      <c r="S736" s="92" t="b">
        <v>1</v>
      </c>
      <c r="T736" s="100">
        <v>1</v>
      </c>
      <c r="U736" s="100">
        <v>1.1941823310480474E+19</v>
      </c>
      <c r="V736" s="100"/>
    </row>
    <row r="737" spans="4:22" ht="15" customHeight="1">
      <c r="D737" s="98" t="b">
        <v>0</v>
      </c>
      <c r="E737" s="93">
        <v>1</v>
      </c>
      <c r="F737" s="91">
        <v>1</v>
      </c>
      <c r="G737" s="91" t="s">
        <v>74</v>
      </c>
      <c r="H737" s="92">
        <v>56</v>
      </c>
      <c r="I737" s="92">
        <v>0</v>
      </c>
      <c r="J737" s="92">
        <v>0</v>
      </c>
      <c r="K737" s="92">
        <v>35.5</v>
      </c>
      <c r="L737" s="92" t="s">
        <v>78</v>
      </c>
      <c r="M737" s="92" t="s">
        <v>82</v>
      </c>
      <c r="N737" s="92" t="s">
        <v>77</v>
      </c>
      <c r="O737" s="92" t="b">
        <v>1</v>
      </c>
      <c r="P737" s="92" t="s">
        <v>93</v>
      </c>
      <c r="Q737" s="92" t="s">
        <v>84</v>
      </c>
      <c r="R737" s="92" t="s">
        <v>85</v>
      </c>
      <c r="S737" s="92" t="b">
        <v>1</v>
      </c>
      <c r="T737" s="100">
        <v>0</v>
      </c>
      <c r="U737" s="100">
        <v>1.2621566587770372E+19</v>
      </c>
      <c r="V737" s="100"/>
    </row>
    <row r="738" spans="4:22" ht="15" customHeight="1">
      <c r="D738" s="98" t="b">
        <v>0</v>
      </c>
      <c r="E738" s="93">
        <v>0</v>
      </c>
      <c r="F738" s="91">
        <v>3</v>
      </c>
      <c r="G738" s="91" t="s">
        <v>74</v>
      </c>
      <c r="H738" s="92"/>
      <c r="I738" s="92">
        <v>0</v>
      </c>
      <c r="J738" s="92">
        <v>0</v>
      </c>
      <c r="K738" s="92">
        <v>7.55</v>
      </c>
      <c r="L738" s="92" t="s">
        <v>75</v>
      </c>
      <c r="M738" s="92" t="s">
        <v>76</v>
      </c>
      <c r="N738" s="92" t="s">
        <v>77</v>
      </c>
      <c r="O738" s="92" t="b">
        <v>1</v>
      </c>
      <c r="P738" s="92"/>
      <c r="Q738" s="92" t="s">
        <v>79</v>
      </c>
      <c r="R738" s="92" t="s">
        <v>80</v>
      </c>
      <c r="S738" s="92" t="b">
        <v>1</v>
      </c>
      <c r="T738" s="100">
        <v>1</v>
      </c>
      <c r="U738" s="100">
        <v>1.247444358806306E+19</v>
      </c>
      <c r="V738" s="100"/>
    </row>
    <row r="739" spans="4:22" ht="15" customHeight="1">
      <c r="D739" s="98" t="b">
        <v>0</v>
      </c>
      <c r="E739" s="93">
        <v>1</v>
      </c>
      <c r="F739" s="91">
        <v>3</v>
      </c>
      <c r="G739" s="91" t="s">
        <v>81</v>
      </c>
      <c r="H739" s="92">
        <v>23</v>
      </c>
      <c r="I739" s="92">
        <v>0</v>
      </c>
      <c r="J739" s="92">
        <v>0</v>
      </c>
      <c r="K739" s="92">
        <v>7.55</v>
      </c>
      <c r="L739" s="92" t="s">
        <v>75</v>
      </c>
      <c r="M739" s="92" t="s">
        <v>76</v>
      </c>
      <c r="N739" s="92" t="s">
        <v>83</v>
      </c>
      <c r="O739" s="92" t="b">
        <v>0</v>
      </c>
      <c r="P739" s="92"/>
      <c r="Q739" s="92" t="s">
        <v>79</v>
      </c>
      <c r="R739" s="92" t="s">
        <v>85</v>
      </c>
      <c r="S739" s="92" t="b">
        <v>1</v>
      </c>
      <c r="T739" s="100">
        <v>1</v>
      </c>
      <c r="U739" s="100">
        <v>1.3439962610416671E+19</v>
      </c>
      <c r="V739" s="100"/>
    </row>
    <row r="740" spans="4:22" ht="15" customHeight="1">
      <c r="D740" s="98" t="b">
        <v>0</v>
      </c>
      <c r="E740" s="93">
        <v>0</v>
      </c>
      <c r="F740" s="91">
        <v>3</v>
      </c>
      <c r="G740" s="91" t="s">
        <v>74</v>
      </c>
      <c r="H740" s="92"/>
      <c r="I740" s="92">
        <v>0</v>
      </c>
      <c r="J740" s="92">
        <v>0</v>
      </c>
      <c r="K740" s="92">
        <v>7.8958000000000004</v>
      </c>
      <c r="L740" s="92" t="s">
        <v>75</v>
      </c>
      <c r="M740" s="92" t="s">
        <v>76</v>
      </c>
      <c r="N740" s="92" t="s">
        <v>77</v>
      </c>
      <c r="O740" s="92" t="b">
        <v>1</v>
      </c>
      <c r="P740" s="92"/>
      <c r="Q740" s="92" t="s">
        <v>79</v>
      </c>
      <c r="R740" s="92" t="s">
        <v>80</v>
      </c>
      <c r="S740" s="92" t="b">
        <v>1</v>
      </c>
      <c r="T740" s="100">
        <v>1</v>
      </c>
      <c r="U740" s="100">
        <v>9.9740171854948762E+18</v>
      </c>
      <c r="V740" s="100"/>
    </row>
    <row r="741" spans="4:22" ht="15" customHeight="1">
      <c r="D741" s="98" t="b">
        <v>0</v>
      </c>
      <c r="E741" s="93">
        <v>1</v>
      </c>
      <c r="F741" s="91">
        <v>2</v>
      </c>
      <c r="G741" s="91" t="s">
        <v>81</v>
      </c>
      <c r="H741" s="92">
        <v>18</v>
      </c>
      <c r="I741" s="92">
        <v>0</v>
      </c>
      <c r="J741" s="92">
        <v>1</v>
      </c>
      <c r="K741" s="92">
        <v>23</v>
      </c>
      <c r="L741" s="92" t="s">
        <v>75</v>
      </c>
      <c r="M741" s="92" t="s">
        <v>90</v>
      </c>
      <c r="N741" s="92" t="s">
        <v>83</v>
      </c>
      <c r="O741" s="92" t="b">
        <v>0</v>
      </c>
      <c r="P741" s="92"/>
      <c r="Q741" s="92" t="s">
        <v>79</v>
      </c>
      <c r="R741" s="92" t="s">
        <v>85</v>
      </c>
      <c r="S741" s="92" t="b">
        <v>0</v>
      </c>
      <c r="T741" s="100">
        <v>1</v>
      </c>
      <c r="U741" s="100">
        <v>9.20662442664431E+18</v>
      </c>
      <c r="V741" s="100"/>
    </row>
    <row r="742" spans="4:22" ht="15" customHeight="1">
      <c r="D742" s="98" t="b">
        <v>0</v>
      </c>
      <c r="E742" s="93">
        <v>0</v>
      </c>
      <c r="F742" s="91">
        <v>3</v>
      </c>
      <c r="G742" s="91" t="s">
        <v>74</v>
      </c>
      <c r="H742" s="92">
        <v>21</v>
      </c>
      <c r="I742" s="92">
        <v>0</v>
      </c>
      <c r="J742" s="92">
        <v>0</v>
      </c>
      <c r="K742" s="92">
        <v>8.4332999999999991</v>
      </c>
      <c r="L742" s="92" t="s">
        <v>75</v>
      </c>
      <c r="M742" s="92" t="s">
        <v>76</v>
      </c>
      <c r="N742" s="92" t="s">
        <v>77</v>
      </c>
      <c r="O742" s="92" t="b">
        <v>1</v>
      </c>
      <c r="P742" s="92"/>
      <c r="Q742" s="92" t="s">
        <v>79</v>
      </c>
      <c r="R742" s="92" t="s">
        <v>80</v>
      </c>
      <c r="S742" s="92" t="b">
        <v>1</v>
      </c>
      <c r="T742" s="100">
        <v>1</v>
      </c>
      <c r="U742" s="100">
        <v>5.9335577665642312E+18</v>
      </c>
      <c r="V742" s="100"/>
    </row>
    <row r="743" spans="4:22" ht="15" customHeight="1">
      <c r="D743" s="98" t="b">
        <v>0</v>
      </c>
      <c r="E743" s="93">
        <v>1</v>
      </c>
      <c r="F743" s="91">
        <v>3</v>
      </c>
      <c r="G743" s="91" t="s">
        <v>81</v>
      </c>
      <c r="H743" s="92"/>
      <c r="I743" s="92">
        <v>0</v>
      </c>
      <c r="J743" s="92">
        <v>0</v>
      </c>
      <c r="K743" s="92">
        <v>7.8292000000000002</v>
      </c>
      <c r="L743" s="92" t="s">
        <v>86</v>
      </c>
      <c r="M743" s="92" t="s">
        <v>76</v>
      </c>
      <c r="N743" s="92" t="s">
        <v>83</v>
      </c>
      <c r="O743" s="92" t="b">
        <v>0</v>
      </c>
      <c r="P743" s="92"/>
      <c r="Q743" s="92" t="s">
        <v>87</v>
      </c>
      <c r="R743" s="92" t="s">
        <v>85</v>
      </c>
      <c r="S743" s="92" t="b">
        <v>1</v>
      </c>
      <c r="T743" s="100">
        <v>1</v>
      </c>
      <c r="U743" s="100">
        <v>8.0321205530265078E+18</v>
      </c>
      <c r="V743" s="100"/>
    </row>
    <row r="744" spans="4:22" ht="15" customHeight="1">
      <c r="D744" s="98" t="b">
        <v>0</v>
      </c>
      <c r="E744" s="93">
        <v>0</v>
      </c>
      <c r="F744" s="91">
        <v>3</v>
      </c>
      <c r="G744" s="91" t="s">
        <v>81</v>
      </c>
      <c r="H744" s="92">
        <v>18</v>
      </c>
      <c r="I744" s="92">
        <v>0</v>
      </c>
      <c r="J744" s="92">
        <v>0</v>
      </c>
      <c r="K744" s="92">
        <v>6.75</v>
      </c>
      <c r="L744" s="92" t="s">
        <v>86</v>
      </c>
      <c r="M744" s="92" t="s">
        <v>76</v>
      </c>
      <c r="N744" s="92" t="s">
        <v>83</v>
      </c>
      <c r="O744" s="92" t="b">
        <v>0</v>
      </c>
      <c r="P744" s="92"/>
      <c r="Q744" s="92" t="s">
        <v>87</v>
      </c>
      <c r="R744" s="92" t="s">
        <v>80</v>
      </c>
      <c r="S744" s="92" t="b">
        <v>1</v>
      </c>
      <c r="T744" s="100">
        <v>1</v>
      </c>
      <c r="U744" s="100">
        <v>1.0683174917022921E+19</v>
      </c>
      <c r="V744" s="100"/>
    </row>
    <row r="745" spans="4:22" ht="15" customHeight="1">
      <c r="D745" s="98" t="b">
        <v>0</v>
      </c>
      <c r="E745" s="93">
        <v>0</v>
      </c>
      <c r="F745" s="91">
        <v>2</v>
      </c>
      <c r="G745" s="91" t="s">
        <v>74</v>
      </c>
      <c r="H745" s="92">
        <v>24</v>
      </c>
      <c r="I745" s="92">
        <v>2</v>
      </c>
      <c r="J745" s="92">
        <v>0</v>
      </c>
      <c r="K745" s="92">
        <v>73.5</v>
      </c>
      <c r="L745" s="92" t="s">
        <v>75</v>
      </c>
      <c r="M745" s="92" t="s">
        <v>90</v>
      </c>
      <c r="N745" s="92" t="s">
        <v>77</v>
      </c>
      <c r="O745" s="92" t="b">
        <v>1</v>
      </c>
      <c r="P745" s="92"/>
      <c r="Q745" s="92" t="s">
        <v>79</v>
      </c>
      <c r="R745" s="92" t="s">
        <v>80</v>
      </c>
      <c r="S745" s="92" t="b">
        <v>0</v>
      </c>
      <c r="T745" s="100">
        <v>1</v>
      </c>
      <c r="U745" s="100">
        <v>1.6433958350879827E+17</v>
      </c>
      <c r="V745" s="100"/>
    </row>
    <row r="746" spans="4:22" ht="15" customHeight="1">
      <c r="D746" s="98" t="b">
        <v>0</v>
      </c>
      <c r="E746" s="93">
        <v>0</v>
      </c>
      <c r="F746" s="91">
        <v>3</v>
      </c>
      <c r="G746" s="91" t="s">
        <v>74</v>
      </c>
      <c r="H746" s="92"/>
      <c r="I746" s="92">
        <v>0</v>
      </c>
      <c r="J746" s="92">
        <v>0</v>
      </c>
      <c r="K746" s="92">
        <v>7.8958000000000004</v>
      </c>
      <c r="L746" s="92" t="s">
        <v>75</v>
      </c>
      <c r="M746" s="92" t="s">
        <v>76</v>
      </c>
      <c r="N746" s="92" t="s">
        <v>77</v>
      </c>
      <c r="O746" s="92" t="b">
        <v>1</v>
      </c>
      <c r="P746" s="92"/>
      <c r="Q746" s="92" t="s">
        <v>79</v>
      </c>
      <c r="R746" s="92" t="s">
        <v>80</v>
      </c>
      <c r="S746" s="92" t="b">
        <v>1</v>
      </c>
      <c r="T746" s="100">
        <v>1</v>
      </c>
      <c r="U746" s="100">
        <v>9.9740171854948762E+18</v>
      </c>
      <c r="V746" s="100"/>
    </row>
    <row r="747" spans="4:22" ht="15" customHeight="1">
      <c r="D747" s="98" t="b">
        <v>0</v>
      </c>
      <c r="E747" s="93">
        <v>0</v>
      </c>
      <c r="F747" s="91">
        <v>3</v>
      </c>
      <c r="G747" s="91" t="s">
        <v>81</v>
      </c>
      <c r="H747" s="92">
        <v>32</v>
      </c>
      <c r="I747" s="92">
        <v>1</v>
      </c>
      <c r="J747" s="92">
        <v>1</v>
      </c>
      <c r="K747" s="92">
        <v>15.5</v>
      </c>
      <c r="L747" s="92" t="s">
        <v>86</v>
      </c>
      <c r="M747" s="92" t="s">
        <v>76</v>
      </c>
      <c r="N747" s="92" t="s">
        <v>83</v>
      </c>
      <c r="O747" s="92" t="b">
        <v>0</v>
      </c>
      <c r="P747" s="92"/>
      <c r="Q747" s="92" t="s">
        <v>87</v>
      </c>
      <c r="R747" s="92" t="s">
        <v>80</v>
      </c>
      <c r="S747" s="92" t="b">
        <v>0</v>
      </c>
      <c r="T747" s="100">
        <v>1</v>
      </c>
      <c r="U747" s="100">
        <v>1.5782742704250104E+19</v>
      </c>
      <c r="V747" s="100"/>
    </row>
    <row r="748" spans="4:22" ht="15" customHeight="1">
      <c r="D748" s="98" t="b">
        <v>0</v>
      </c>
      <c r="E748" s="93">
        <v>0</v>
      </c>
      <c r="F748" s="91">
        <v>2</v>
      </c>
      <c r="G748" s="91" t="s">
        <v>74</v>
      </c>
      <c r="H748" s="92">
        <v>23</v>
      </c>
      <c r="I748" s="92">
        <v>0</v>
      </c>
      <c r="J748" s="92">
        <v>0</v>
      </c>
      <c r="K748" s="92">
        <v>13</v>
      </c>
      <c r="L748" s="92" t="s">
        <v>75</v>
      </c>
      <c r="M748" s="92" t="s">
        <v>90</v>
      </c>
      <c r="N748" s="92" t="s">
        <v>77</v>
      </c>
      <c r="O748" s="92" t="b">
        <v>1</v>
      </c>
      <c r="P748" s="92"/>
      <c r="Q748" s="92" t="s">
        <v>79</v>
      </c>
      <c r="R748" s="92" t="s">
        <v>80</v>
      </c>
      <c r="S748" s="92" t="b">
        <v>1</v>
      </c>
      <c r="T748" s="100">
        <v>1</v>
      </c>
      <c r="U748" s="100">
        <v>1.3896309675162161E+19</v>
      </c>
      <c r="V748" s="100"/>
    </row>
    <row r="749" spans="4:22" ht="15" customHeight="1">
      <c r="D749" s="98" t="b">
        <v>0</v>
      </c>
      <c r="E749" s="93">
        <v>0</v>
      </c>
      <c r="F749" s="91">
        <v>1</v>
      </c>
      <c r="G749" s="91" t="s">
        <v>74</v>
      </c>
      <c r="H749" s="92">
        <v>58</v>
      </c>
      <c r="I749" s="92">
        <v>0</v>
      </c>
      <c r="J749" s="92">
        <v>2</v>
      </c>
      <c r="K749" s="92">
        <v>113.27500000000001</v>
      </c>
      <c r="L749" s="92" t="s">
        <v>78</v>
      </c>
      <c r="M749" s="92" t="s">
        <v>82</v>
      </c>
      <c r="N749" s="92" t="s">
        <v>77</v>
      </c>
      <c r="O749" s="92" t="b">
        <v>1</v>
      </c>
      <c r="P749" s="92" t="s">
        <v>92</v>
      </c>
      <c r="Q749" s="92" t="s">
        <v>84</v>
      </c>
      <c r="R749" s="92" t="s">
        <v>80</v>
      </c>
      <c r="S749" s="92" t="b">
        <v>0</v>
      </c>
      <c r="T749" s="100">
        <v>0</v>
      </c>
      <c r="U749" s="100">
        <v>1.6299666264212783E+19</v>
      </c>
      <c r="V749" s="100"/>
    </row>
    <row r="750" spans="4:22" ht="15" customHeight="1">
      <c r="D750" s="98" t="b">
        <v>0</v>
      </c>
      <c r="E750" s="93">
        <v>1</v>
      </c>
      <c r="F750" s="91">
        <v>1</v>
      </c>
      <c r="G750" s="91" t="s">
        <v>74</v>
      </c>
      <c r="H750" s="92">
        <v>50</v>
      </c>
      <c r="I750" s="92">
        <v>2</v>
      </c>
      <c r="J750" s="92">
        <v>0</v>
      </c>
      <c r="K750" s="92">
        <v>133.65</v>
      </c>
      <c r="L750" s="92" t="s">
        <v>75</v>
      </c>
      <c r="M750" s="92" t="s">
        <v>82</v>
      </c>
      <c r="N750" s="92" t="s">
        <v>77</v>
      </c>
      <c r="O750" s="92" t="b">
        <v>1</v>
      </c>
      <c r="P750" s="92"/>
      <c r="Q750" s="92" t="s">
        <v>79</v>
      </c>
      <c r="R750" s="92" t="s">
        <v>85</v>
      </c>
      <c r="S750" s="92" t="b">
        <v>0</v>
      </c>
      <c r="T750" s="100">
        <v>1</v>
      </c>
      <c r="U750" s="100">
        <v>4.6528210283588833E+18</v>
      </c>
      <c r="V750" s="100"/>
    </row>
    <row r="751" spans="4:22" ht="15" customHeight="1">
      <c r="D751" s="98" t="b">
        <v>0</v>
      </c>
      <c r="E751" s="93">
        <v>0</v>
      </c>
      <c r="F751" s="91">
        <v>3</v>
      </c>
      <c r="G751" s="91" t="s">
        <v>74</v>
      </c>
      <c r="H751" s="92">
        <v>40</v>
      </c>
      <c r="I751" s="92">
        <v>0</v>
      </c>
      <c r="J751" s="92">
        <v>0</v>
      </c>
      <c r="K751" s="92">
        <v>7.2249999999999996</v>
      </c>
      <c r="L751" s="92" t="s">
        <v>78</v>
      </c>
      <c r="M751" s="92" t="s">
        <v>76</v>
      </c>
      <c r="N751" s="92" t="s">
        <v>77</v>
      </c>
      <c r="O751" s="92" t="b">
        <v>1</v>
      </c>
      <c r="P751" s="92"/>
      <c r="Q751" s="92" t="s">
        <v>84</v>
      </c>
      <c r="R751" s="92" t="s">
        <v>80</v>
      </c>
      <c r="S751" s="92" t="b">
        <v>1</v>
      </c>
      <c r="T751" s="100">
        <v>1</v>
      </c>
      <c r="U751" s="100">
        <v>1.6564224655086817E+19</v>
      </c>
      <c r="V751" s="100"/>
    </row>
    <row r="752" spans="4:22" ht="15" customHeight="1">
      <c r="D752" s="98" t="b">
        <v>0</v>
      </c>
      <c r="E752" s="93">
        <v>0</v>
      </c>
      <c r="F752" s="91">
        <v>1</v>
      </c>
      <c r="G752" s="91" t="s">
        <v>74</v>
      </c>
      <c r="H752" s="92">
        <v>47</v>
      </c>
      <c r="I752" s="92">
        <v>0</v>
      </c>
      <c r="J752" s="92">
        <v>0</v>
      </c>
      <c r="K752" s="92">
        <v>25.587499999999999</v>
      </c>
      <c r="L752" s="92" t="s">
        <v>75</v>
      </c>
      <c r="M752" s="92" t="s">
        <v>82</v>
      </c>
      <c r="N752" s="92" t="s">
        <v>77</v>
      </c>
      <c r="O752" s="92" t="b">
        <v>1</v>
      </c>
      <c r="P752" s="92" t="s">
        <v>88</v>
      </c>
      <c r="Q752" s="92" t="s">
        <v>79</v>
      </c>
      <c r="R752" s="92" t="s">
        <v>80</v>
      </c>
      <c r="S752" s="92" t="b">
        <v>1</v>
      </c>
      <c r="T752" s="100">
        <v>0</v>
      </c>
      <c r="U752" s="100">
        <v>1.6916161448231897E+19</v>
      </c>
      <c r="V752" s="100"/>
    </row>
    <row r="753" spans="4:22" ht="15" customHeight="1">
      <c r="D753" s="98" t="b">
        <v>0</v>
      </c>
      <c r="E753" s="93">
        <v>0</v>
      </c>
      <c r="F753" s="91">
        <v>3</v>
      </c>
      <c r="G753" s="91" t="s">
        <v>74</v>
      </c>
      <c r="H753" s="92">
        <v>36</v>
      </c>
      <c r="I753" s="92">
        <v>0</v>
      </c>
      <c r="J753" s="92">
        <v>0</v>
      </c>
      <c r="K753" s="92">
        <v>7.4958</v>
      </c>
      <c r="L753" s="92" t="s">
        <v>75</v>
      </c>
      <c r="M753" s="92" t="s">
        <v>76</v>
      </c>
      <c r="N753" s="92" t="s">
        <v>77</v>
      </c>
      <c r="O753" s="92" t="b">
        <v>1</v>
      </c>
      <c r="P753" s="92"/>
      <c r="Q753" s="92" t="s">
        <v>79</v>
      </c>
      <c r="R753" s="92" t="s">
        <v>80</v>
      </c>
      <c r="S753" s="92" t="b">
        <v>1</v>
      </c>
      <c r="T753" s="100">
        <v>1</v>
      </c>
      <c r="U753" s="100">
        <v>7.8840705516111555E+18</v>
      </c>
      <c r="V753" s="100"/>
    </row>
    <row r="754" spans="4:22" ht="15" customHeight="1">
      <c r="D754" s="98" t="b">
        <v>0</v>
      </c>
      <c r="E754" s="93">
        <v>1</v>
      </c>
      <c r="F754" s="91">
        <v>3</v>
      </c>
      <c r="G754" s="91" t="s">
        <v>74</v>
      </c>
      <c r="H754" s="92">
        <v>20</v>
      </c>
      <c r="I754" s="92">
        <v>1</v>
      </c>
      <c r="J754" s="92">
        <v>0</v>
      </c>
      <c r="K754" s="92">
        <v>7.9249999999999998</v>
      </c>
      <c r="L754" s="92" t="s">
        <v>75</v>
      </c>
      <c r="M754" s="92" t="s">
        <v>76</v>
      </c>
      <c r="N754" s="92" t="s">
        <v>77</v>
      </c>
      <c r="O754" s="92" t="b">
        <v>1</v>
      </c>
      <c r="P754" s="92"/>
      <c r="Q754" s="92" t="s">
        <v>79</v>
      </c>
      <c r="R754" s="92" t="s">
        <v>85</v>
      </c>
      <c r="S754" s="92" t="b">
        <v>0</v>
      </c>
      <c r="T754" s="100">
        <v>1</v>
      </c>
      <c r="U754" s="100">
        <v>1.1489789002785667E+19</v>
      </c>
      <c r="V754" s="100"/>
    </row>
    <row r="755" spans="4:22" ht="15" customHeight="1">
      <c r="D755" s="98" t="b">
        <v>0</v>
      </c>
      <c r="E755" s="93">
        <v>0</v>
      </c>
      <c r="F755" s="91">
        <v>2</v>
      </c>
      <c r="G755" s="91" t="s">
        <v>74</v>
      </c>
      <c r="H755" s="92">
        <v>32</v>
      </c>
      <c r="I755" s="92">
        <v>2</v>
      </c>
      <c r="J755" s="92">
        <v>0</v>
      </c>
      <c r="K755" s="92">
        <v>73.5</v>
      </c>
      <c r="L755" s="92" t="s">
        <v>75</v>
      </c>
      <c r="M755" s="92" t="s">
        <v>90</v>
      </c>
      <c r="N755" s="92" t="s">
        <v>77</v>
      </c>
      <c r="O755" s="92" t="b">
        <v>1</v>
      </c>
      <c r="P755" s="92"/>
      <c r="Q755" s="92" t="s">
        <v>79</v>
      </c>
      <c r="R755" s="92" t="s">
        <v>80</v>
      </c>
      <c r="S755" s="92" t="b">
        <v>0</v>
      </c>
      <c r="T755" s="100">
        <v>1</v>
      </c>
      <c r="U755" s="100">
        <v>6.2085200144525271E+18</v>
      </c>
      <c r="V755" s="100"/>
    </row>
    <row r="756" spans="4:22" ht="15" customHeight="1">
      <c r="D756" s="98" t="b">
        <v>0</v>
      </c>
      <c r="E756" s="93">
        <v>0</v>
      </c>
      <c r="F756" s="91">
        <v>2</v>
      </c>
      <c r="G756" s="91" t="s">
        <v>74</v>
      </c>
      <c r="H756" s="92">
        <v>25</v>
      </c>
      <c r="I756" s="92">
        <v>0</v>
      </c>
      <c r="J756" s="92">
        <v>0</v>
      </c>
      <c r="K756" s="92">
        <v>13</v>
      </c>
      <c r="L756" s="92" t="s">
        <v>75</v>
      </c>
      <c r="M756" s="92" t="s">
        <v>90</v>
      </c>
      <c r="N756" s="92" t="s">
        <v>77</v>
      </c>
      <c r="O756" s="92" t="b">
        <v>1</v>
      </c>
      <c r="P756" s="92"/>
      <c r="Q756" s="92" t="s">
        <v>79</v>
      </c>
      <c r="R756" s="92" t="s">
        <v>80</v>
      </c>
      <c r="S756" s="92" t="b">
        <v>1</v>
      </c>
      <c r="T756" s="100">
        <v>1</v>
      </c>
      <c r="U756" s="100">
        <v>1.6671839457297043E+19</v>
      </c>
      <c r="V756" s="100"/>
    </row>
    <row r="757" spans="4:22" ht="15" customHeight="1">
      <c r="D757" s="98" t="b">
        <v>0</v>
      </c>
      <c r="E757" s="93">
        <v>0</v>
      </c>
      <c r="F757" s="91">
        <v>3</v>
      </c>
      <c r="G757" s="91" t="s">
        <v>74</v>
      </c>
      <c r="H757" s="92"/>
      <c r="I757" s="92">
        <v>0</v>
      </c>
      <c r="J757" s="92">
        <v>0</v>
      </c>
      <c r="K757" s="92">
        <v>7.7750000000000004</v>
      </c>
      <c r="L757" s="92" t="s">
        <v>75</v>
      </c>
      <c r="M757" s="92" t="s">
        <v>76</v>
      </c>
      <c r="N757" s="92" t="s">
        <v>77</v>
      </c>
      <c r="O757" s="92" t="b">
        <v>1</v>
      </c>
      <c r="P757" s="92"/>
      <c r="Q757" s="92" t="s">
        <v>79</v>
      </c>
      <c r="R757" s="92" t="s">
        <v>80</v>
      </c>
      <c r="S757" s="92" t="b">
        <v>1</v>
      </c>
      <c r="T757" s="100">
        <v>1</v>
      </c>
      <c r="U757" s="100">
        <v>1.4055840755993428E+18</v>
      </c>
      <c r="V757" s="100"/>
    </row>
    <row r="758" spans="4:22" ht="15" customHeight="1">
      <c r="D758" s="98" t="b">
        <v>0</v>
      </c>
      <c r="E758" s="93">
        <v>0</v>
      </c>
      <c r="F758" s="91">
        <v>3</v>
      </c>
      <c r="G758" s="91" t="s">
        <v>74</v>
      </c>
      <c r="H758" s="92">
        <v>43</v>
      </c>
      <c r="I758" s="92">
        <v>0</v>
      </c>
      <c r="J758" s="92">
        <v>0</v>
      </c>
      <c r="K758" s="92">
        <v>8.0500000000000007</v>
      </c>
      <c r="L758" s="92" t="s">
        <v>75</v>
      </c>
      <c r="M758" s="92" t="s">
        <v>76</v>
      </c>
      <c r="N758" s="92" t="s">
        <v>77</v>
      </c>
      <c r="O758" s="92" t="b">
        <v>1</v>
      </c>
      <c r="P758" s="92"/>
      <c r="Q758" s="92" t="s">
        <v>79</v>
      </c>
      <c r="R758" s="92" t="s">
        <v>80</v>
      </c>
      <c r="S758" s="92" t="b">
        <v>1</v>
      </c>
      <c r="T758" s="100">
        <v>1</v>
      </c>
      <c r="U758" s="100">
        <v>1.1721944877957138E+19</v>
      </c>
      <c r="V758" s="100"/>
    </row>
    <row r="759" spans="4:22" ht="15" customHeight="1">
      <c r="D759" s="98" t="b">
        <v>0</v>
      </c>
      <c r="E759" s="93">
        <v>1</v>
      </c>
      <c r="F759" s="91">
        <v>1</v>
      </c>
      <c r="G759" s="91" t="s">
        <v>81</v>
      </c>
      <c r="H759" s="92"/>
      <c r="I759" s="92">
        <v>1</v>
      </c>
      <c r="J759" s="92">
        <v>0</v>
      </c>
      <c r="K759" s="92">
        <v>52</v>
      </c>
      <c r="L759" s="92" t="s">
        <v>75</v>
      </c>
      <c r="M759" s="92" t="s">
        <v>82</v>
      </c>
      <c r="N759" s="92" t="s">
        <v>83</v>
      </c>
      <c r="O759" s="92" t="b">
        <v>0</v>
      </c>
      <c r="P759" s="92" t="s">
        <v>78</v>
      </c>
      <c r="Q759" s="92" t="s">
        <v>79</v>
      </c>
      <c r="R759" s="92" t="s">
        <v>85</v>
      </c>
      <c r="S759" s="92" t="b">
        <v>0</v>
      </c>
      <c r="T759" s="100">
        <v>1</v>
      </c>
      <c r="U759" s="100">
        <v>1.7137881488276138E+19</v>
      </c>
      <c r="V759" s="100"/>
    </row>
    <row r="760" spans="4:22" ht="15" customHeight="1">
      <c r="D760" s="98" t="b">
        <v>0</v>
      </c>
      <c r="E760" s="93">
        <v>1</v>
      </c>
      <c r="F760" s="91">
        <v>2</v>
      </c>
      <c r="G760" s="91" t="s">
        <v>81</v>
      </c>
      <c r="H760" s="92">
        <v>40</v>
      </c>
      <c r="I760" s="92">
        <v>1</v>
      </c>
      <c r="J760" s="92">
        <v>1</v>
      </c>
      <c r="K760" s="92">
        <v>39</v>
      </c>
      <c r="L760" s="92" t="s">
        <v>75</v>
      </c>
      <c r="M760" s="92" t="s">
        <v>90</v>
      </c>
      <c r="N760" s="92" t="s">
        <v>83</v>
      </c>
      <c r="O760" s="92" t="b">
        <v>0</v>
      </c>
      <c r="P760" s="92"/>
      <c r="Q760" s="92" t="s">
        <v>79</v>
      </c>
      <c r="R760" s="92" t="s">
        <v>85</v>
      </c>
      <c r="S760" s="92" t="b">
        <v>0</v>
      </c>
      <c r="T760" s="100">
        <v>1</v>
      </c>
      <c r="U760" s="100">
        <v>1.2348069420480862E+19</v>
      </c>
      <c r="V760" s="100"/>
    </row>
    <row r="761" spans="4:22" ht="15" customHeight="1">
      <c r="D761" s="98" t="b">
        <v>0</v>
      </c>
      <c r="E761" s="93">
        <v>0</v>
      </c>
      <c r="F761" s="91">
        <v>1</v>
      </c>
      <c r="G761" s="91" t="s">
        <v>74</v>
      </c>
      <c r="H761" s="92">
        <v>31</v>
      </c>
      <c r="I761" s="92">
        <v>1</v>
      </c>
      <c r="J761" s="92">
        <v>0</v>
      </c>
      <c r="K761" s="92">
        <v>52</v>
      </c>
      <c r="L761" s="92" t="s">
        <v>75</v>
      </c>
      <c r="M761" s="92" t="s">
        <v>82</v>
      </c>
      <c r="N761" s="92" t="s">
        <v>77</v>
      </c>
      <c r="O761" s="92" t="b">
        <v>1</v>
      </c>
      <c r="P761" s="92" t="s">
        <v>94</v>
      </c>
      <c r="Q761" s="92" t="s">
        <v>79</v>
      </c>
      <c r="R761" s="92" t="s">
        <v>80</v>
      </c>
      <c r="S761" s="92" t="b">
        <v>0</v>
      </c>
      <c r="T761" s="100">
        <v>0</v>
      </c>
      <c r="U761" s="100">
        <v>1.6412098654070176E+19</v>
      </c>
      <c r="V761" s="100"/>
    </row>
    <row r="762" spans="4:22" ht="15" customHeight="1">
      <c r="D762" s="98" t="b">
        <v>0</v>
      </c>
      <c r="E762" s="93">
        <v>0</v>
      </c>
      <c r="F762" s="91">
        <v>2</v>
      </c>
      <c r="G762" s="91" t="s">
        <v>74</v>
      </c>
      <c r="H762" s="92">
        <v>70</v>
      </c>
      <c r="I762" s="92">
        <v>0</v>
      </c>
      <c r="J762" s="92">
        <v>0</v>
      </c>
      <c r="K762" s="92">
        <v>10.5</v>
      </c>
      <c r="L762" s="92" t="s">
        <v>75</v>
      </c>
      <c r="M762" s="92" t="s">
        <v>90</v>
      </c>
      <c r="N762" s="92" t="s">
        <v>77</v>
      </c>
      <c r="O762" s="92" t="b">
        <v>1</v>
      </c>
      <c r="P762" s="92"/>
      <c r="Q762" s="92" t="s">
        <v>79</v>
      </c>
      <c r="R762" s="92" t="s">
        <v>80</v>
      </c>
      <c r="S762" s="92" t="b">
        <v>1</v>
      </c>
      <c r="T762" s="100">
        <v>1</v>
      </c>
      <c r="U762" s="100">
        <v>1.8094291089431851E+19</v>
      </c>
      <c r="V762" s="100"/>
    </row>
    <row r="763" spans="4:22" ht="15" customHeight="1">
      <c r="D763" s="98" t="b">
        <v>0</v>
      </c>
      <c r="E763" s="93">
        <v>1</v>
      </c>
      <c r="F763" s="91">
        <v>2</v>
      </c>
      <c r="G763" s="91" t="s">
        <v>74</v>
      </c>
      <c r="H763" s="92">
        <v>31</v>
      </c>
      <c r="I763" s="92">
        <v>0</v>
      </c>
      <c r="J763" s="92">
        <v>0</v>
      </c>
      <c r="K763" s="92">
        <v>13</v>
      </c>
      <c r="L763" s="92" t="s">
        <v>75</v>
      </c>
      <c r="M763" s="92" t="s">
        <v>90</v>
      </c>
      <c r="N763" s="92" t="s">
        <v>77</v>
      </c>
      <c r="O763" s="92" t="b">
        <v>1</v>
      </c>
      <c r="P763" s="92"/>
      <c r="Q763" s="92" t="s">
        <v>79</v>
      </c>
      <c r="R763" s="92" t="s">
        <v>85</v>
      </c>
      <c r="S763" s="92" t="b">
        <v>1</v>
      </c>
      <c r="T763" s="100">
        <v>1</v>
      </c>
      <c r="U763" s="100">
        <v>2.587611711621343E+17</v>
      </c>
      <c r="V763" s="100"/>
    </row>
    <row r="764" spans="4:22" ht="15" customHeight="1">
      <c r="D764" s="98" t="b">
        <v>0</v>
      </c>
      <c r="E764" s="93">
        <v>0</v>
      </c>
      <c r="F764" s="91">
        <v>2</v>
      </c>
      <c r="G764" s="91" t="s">
        <v>74</v>
      </c>
      <c r="H764" s="92"/>
      <c r="I764" s="92">
        <v>0</v>
      </c>
      <c r="J764" s="92">
        <v>0</v>
      </c>
      <c r="K764" s="92">
        <v>0</v>
      </c>
      <c r="L764" s="92" t="s">
        <v>75</v>
      </c>
      <c r="M764" s="92" t="s">
        <v>90</v>
      </c>
      <c r="N764" s="92" t="s">
        <v>77</v>
      </c>
      <c r="O764" s="92" t="b">
        <v>1</v>
      </c>
      <c r="P764" s="92"/>
      <c r="Q764" s="92" t="s">
        <v>79</v>
      </c>
      <c r="R764" s="92" t="s">
        <v>80</v>
      </c>
      <c r="S764" s="92" t="b">
        <v>1</v>
      </c>
      <c r="T764" s="100">
        <v>1</v>
      </c>
      <c r="U764" s="100">
        <v>6.2556219612342832E+16</v>
      </c>
      <c r="V764" s="100"/>
    </row>
    <row r="765" spans="4:22" ht="15" customHeight="1">
      <c r="D765" s="98" t="b">
        <v>0</v>
      </c>
      <c r="E765" s="93">
        <v>0</v>
      </c>
      <c r="F765" s="91">
        <v>3</v>
      </c>
      <c r="G765" s="91" t="s">
        <v>74</v>
      </c>
      <c r="H765" s="92">
        <v>18</v>
      </c>
      <c r="I765" s="92">
        <v>0</v>
      </c>
      <c r="J765" s="92">
        <v>0</v>
      </c>
      <c r="K765" s="92">
        <v>7.7750000000000004</v>
      </c>
      <c r="L765" s="92" t="s">
        <v>75</v>
      </c>
      <c r="M765" s="92" t="s">
        <v>76</v>
      </c>
      <c r="N765" s="92" t="s">
        <v>77</v>
      </c>
      <c r="O765" s="92" t="b">
        <v>1</v>
      </c>
      <c r="P765" s="92"/>
      <c r="Q765" s="92" t="s">
        <v>79</v>
      </c>
      <c r="R765" s="92" t="s">
        <v>80</v>
      </c>
      <c r="S765" s="92" t="b">
        <v>1</v>
      </c>
      <c r="T765" s="100">
        <v>1</v>
      </c>
      <c r="U765" s="100">
        <v>1.2875995985276244E+19</v>
      </c>
      <c r="V765" s="100"/>
    </row>
    <row r="766" spans="4:22" ht="15" customHeight="1">
      <c r="D766" s="98" t="b">
        <v>0</v>
      </c>
      <c r="E766" s="93">
        <v>1</v>
      </c>
      <c r="F766" s="91">
        <v>3</v>
      </c>
      <c r="G766" s="91" t="s">
        <v>81</v>
      </c>
      <c r="H766" s="92">
        <v>18</v>
      </c>
      <c r="I766" s="92">
        <v>0</v>
      </c>
      <c r="J766" s="92">
        <v>0</v>
      </c>
      <c r="K766" s="92">
        <v>9.8416999999999994</v>
      </c>
      <c r="L766" s="92" t="s">
        <v>75</v>
      </c>
      <c r="M766" s="92" t="s">
        <v>76</v>
      </c>
      <c r="N766" s="92" t="s">
        <v>83</v>
      </c>
      <c r="O766" s="92" t="b">
        <v>0</v>
      </c>
      <c r="P766" s="92"/>
      <c r="Q766" s="92" t="s">
        <v>79</v>
      </c>
      <c r="R766" s="92" t="s">
        <v>85</v>
      </c>
      <c r="S766" s="92" t="b">
        <v>1</v>
      </c>
      <c r="T766" s="100">
        <v>1</v>
      </c>
      <c r="U766" s="100">
        <v>2.0213140183850865E+18</v>
      </c>
      <c r="V766" s="100"/>
    </row>
    <row r="767" spans="4:22" ht="15" customHeight="1">
      <c r="D767" s="98" t="b">
        <v>0</v>
      </c>
      <c r="E767" s="93">
        <v>0</v>
      </c>
      <c r="F767" s="91">
        <v>3</v>
      </c>
      <c r="G767" s="91" t="s">
        <v>81</v>
      </c>
      <c r="H767" s="92">
        <v>43</v>
      </c>
      <c r="I767" s="92">
        <v>1</v>
      </c>
      <c r="J767" s="92">
        <v>6</v>
      </c>
      <c r="K767" s="92">
        <v>46.9</v>
      </c>
      <c r="L767" s="92" t="s">
        <v>75</v>
      </c>
      <c r="M767" s="92" t="s">
        <v>76</v>
      </c>
      <c r="N767" s="92" t="s">
        <v>83</v>
      </c>
      <c r="O767" s="92" t="b">
        <v>0</v>
      </c>
      <c r="P767" s="92"/>
      <c r="Q767" s="92" t="s">
        <v>79</v>
      </c>
      <c r="R767" s="92" t="s">
        <v>80</v>
      </c>
      <c r="S767" s="92" t="b">
        <v>0</v>
      </c>
      <c r="T767" s="100">
        <v>1</v>
      </c>
      <c r="U767" s="100">
        <v>1.0516631960492722E+19</v>
      </c>
      <c r="V767" s="100"/>
    </row>
    <row r="768" spans="4:22" ht="15" customHeight="1">
      <c r="D768" s="98" t="b">
        <v>0</v>
      </c>
      <c r="E768" s="93">
        <v>1</v>
      </c>
      <c r="F768" s="91">
        <v>1</v>
      </c>
      <c r="G768" s="91" t="s">
        <v>74</v>
      </c>
      <c r="H768" s="92">
        <v>36</v>
      </c>
      <c r="I768" s="92">
        <v>0</v>
      </c>
      <c r="J768" s="92">
        <v>1</v>
      </c>
      <c r="K768" s="92">
        <v>512.32920000000001</v>
      </c>
      <c r="L768" s="92" t="s">
        <v>78</v>
      </c>
      <c r="M768" s="92" t="s">
        <v>82</v>
      </c>
      <c r="N768" s="92" t="s">
        <v>77</v>
      </c>
      <c r="O768" s="92" t="b">
        <v>1</v>
      </c>
      <c r="P768" s="92" t="s">
        <v>94</v>
      </c>
      <c r="Q768" s="92" t="s">
        <v>84</v>
      </c>
      <c r="R768" s="92" t="s">
        <v>85</v>
      </c>
      <c r="S768" s="92" t="b">
        <v>0</v>
      </c>
      <c r="T768" s="100">
        <v>0</v>
      </c>
      <c r="U768" s="100">
        <v>5.1055833958988401E+18</v>
      </c>
      <c r="V768" s="100"/>
    </row>
    <row r="769" spans="4:22" ht="15" customHeight="1">
      <c r="D769" s="98" t="b">
        <v>0</v>
      </c>
      <c r="E769" s="93">
        <v>0</v>
      </c>
      <c r="F769" s="91">
        <v>3</v>
      </c>
      <c r="G769" s="91" t="s">
        <v>81</v>
      </c>
      <c r="H769" s="92"/>
      <c r="I769" s="92">
        <v>0</v>
      </c>
      <c r="J769" s="92">
        <v>0</v>
      </c>
      <c r="K769" s="92">
        <v>8.1374999999999993</v>
      </c>
      <c r="L769" s="92" t="s">
        <v>86</v>
      </c>
      <c r="M769" s="92" t="s">
        <v>76</v>
      </c>
      <c r="N769" s="92" t="s">
        <v>83</v>
      </c>
      <c r="O769" s="92" t="b">
        <v>0</v>
      </c>
      <c r="P769" s="92"/>
      <c r="Q769" s="92" t="s">
        <v>87</v>
      </c>
      <c r="R769" s="92" t="s">
        <v>80</v>
      </c>
      <c r="S769" s="92" t="b">
        <v>1</v>
      </c>
      <c r="T769" s="100">
        <v>1</v>
      </c>
      <c r="U769" s="100">
        <v>6.2156752663433615E+18</v>
      </c>
      <c r="V769" s="100"/>
    </row>
    <row r="770" spans="4:22" ht="15" customHeight="1">
      <c r="D770" s="98" t="b">
        <v>0</v>
      </c>
      <c r="E770" s="93">
        <v>1</v>
      </c>
      <c r="F770" s="91">
        <v>1</v>
      </c>
      <c r="G770" s="91" t="s">
        <v>74</v>
      </c>
      <c r="H770" s="92">
        <v>27</v>
      </c>
      <c r="I770" s="92">
        <v>0</v>
      </c>
      <c r="J770" s="92">
        <v>0</v>
      </c>
      <c r="K770" s="92">
        <v>76.729200000000006</v>
      </c>
      <c r="L770" s="92" t="s">
        <v>78</v>
      </c>
      <c r="M770" s="92" t="s">
        <v>82</v>
      </c>
      <c r="N770" s="92" t="s">
        <v>77</v>
      </c>
      <c r="O770" s="92" t="b">
        <v>1</v>
      </c>
      <c r="P770" s="92" t="s">
        <v>92</v>
      </c>
      <c r="Q770" s="92" t="s">
        <v>84</v>
      </c>
      <c r="R770" s="92" t="s">
        <v>85</v>
      </c>
      <c r="S770" s="92" t="b">
        <v>1</v>
      </c>
      <c r="T770" s="100">
        <v>0</v>
      </c>
      <c r="U770" s="100">
        <v>1.8997662659256164E+18</v>
      </c>
      <c r="V770" s="100"/>
    </row>
    <row r="771" spans="4:22" ht="15" customHeight="1">
      <c r="D771" s="98" t="b">
        <v>0</v>
      </c>
      <c r="E771" s="93">
        <v>0</v>
      </c>
      <c r="F771" s="91">
        <v>3</v>
      </c>
      <c r="G771" s="91" t="s">
        <v>74</v>
      </c>
      <c r="H771" s="92">
        <v>20</v>
      </c>
      <c r="I771" s="92">
        <v>0</v>
      </c>
      <c r="J771" s="92">
        <v>0</v>
      </c>
      <c r="K771" s="92">
        <v>9.2249999999999996</v>
      </c>
      <c r="L771" s="92" t="s">
        <v>75</v>
      </c>
      <c r="M771" s="92" t="s">
        <v>76</v>
      </c>
      <c r="N771" s="92" t="s">
        <v>77</v>
      </c>
      <c r="O771" s="92" t="b">
        <v>1</v>
      </c>
      <c r="P771" s="92"/>
      <c r="Q771" s="92" t="s">
        <v>79</v>
      </c>
      <c r="R771" s="92" t="s">
        <v>80</v>
      </c>
      <c r="S771" s="92" t="b">
        <v>1</v>
      </c>
      <c r="T771" s="100">
        <v>1</v>
      </c>
      <c r="U771" s="100">
        <v>1.6842460268896453E+19</v>
      </c>
      <c r="V771" s="100"/>
    </row>
    <row r="772" spans="4:22" ht="15" customHeight="1">
      <c r="D772" s="98" t="b">
        <v>0</v>
      </c>
      <c r="E772" s="93">
        <v>0</v>
      </c>
      <c r="F772" s="91">
        <v>3</v>
      </c>
      <c r="G772" s="91" t="s">
        <v>74</v>
      </c>
      <c r="H772" s="92">
        <v>14</v>
      </c>
      <c r="I772" s="92">
        <v>5</v>
      </c>
      <c r="J772" s="92">
        <v>2</v>
      </c>
      <c r="K772" s="92">
        <v>46.9</v>
      </c>
      <c r="L772" s="92" t="s">
        <v>75</v>
      </c>
      <c r="M772" s="92" t="s">
        <v>76</v>
      </c>
      <c r="N772" s="92" t="s">
        <v>89</v>
      </c>
      <c r="O772" s="92" t="b">
        <v>0</v>
      </c>
      <c r="P772" s="92"/>
      <c r="Q772" s="92" t="s">
        <v>79</v>
      </c>
      <c r="R772" s="92" t="s">
        <v>80</v>
      </c>
      <c r="S772" s="92" t="b">
        <v>0</v>
      </c>
      <c r="T772" s="100">
        <v>1</v>
      </c>
      <c r="U772" s="100">
        <v>1.4387567792195126E+18</v>
      </c>
      <c r="V772" s="100"/>
    </row>
    <row r="773" spans="4:22" ht="15" customHeight="1">
      <c r="D773" s="98" t="b">
        <v>0</v>
      </c>
      <c r="E773" s="93">
        <v>0</v>
      </c>
      <c r="F773" s="91">
        <v>2</v>
      </c>
      <c r="G773" s="91" t="s">
        <v>74</v>
      </c>
      <c r="H773" s="92">
        <v>60</v>
      </c>
      <c r="I773" s="92">
        <v>1</v>
      </c>
      <c r="J773" s="92">
        <v>1</v>
      </c>
      <c r="K773" s="92">
        <v>39</v>
      </c>
      <c r="L773" s="92" t="s">
        <v>75</v>
      </c>
      <c r="M773" s="92" t="s">
        <v>90</v>
      </c>
      <c r="N773" s="92" t="s">
        <v>77</v>
      </c>
      <c r="O773" s="92" t="b">
        <v>1</v>
      </c>
      <c r="P773" s="92"/>
      <c r="Q773" s="92" t="s">
        <v>79</v>
      </c>
      <c r="R773" s="92" t="s">
        <v>80</v>
      </c>
      <c r="S773" s="92" t="b">
        <v>0</v>
      </c>
      <c r="T773" s="100">
        <v>1</v>
      </c>
      <c r="U773" s="100">
        <v>1.1159605007972037E+19</v>
      </c>
      <c r="V773" s="100"/>
    </row>
    <row r="774" spans="4:22" ht="15" customHeight="1">
      <c r="D774" s="98" t="b">
        <v>0</v>
      </c>
      <c r="E774" s="93">
        <v>0</v>
      </c>
      <c r="F774" s="91">
        <v>2</v>
      </c>
      <c r="G774" s="91" t="s">
        <v>74</v>
      </c>
      <c r="H774" s="92">
        <v>25</v>
      </c>
      <c r="I774" s="92">
        <v>1</v>
      </c>
      <c r="J774" s="92">
        <v>2</v>
      </c>
      <c r="K774" s="92">
        <v>41.5792</v>
      </c>
      <c r="L774" s="92" t="s">
        <v>78</v>
      </c>
      <c r="M774" s="92" t="s">
        <v>90</v>
      </c>
      <c r="N774" s="92" t="s">
        <v>77</v>
      </c>
      <c r="O774" s="92" t="b">
        <v>1</v>
      </c>
      <c r="P774" s="92"/>
      <c r="Q774" s="92" t="s">
        <v>84</v>
      </c>
      <c r="R774" s="92" t="s">
        <v>80</v>
      </c>
      <c r="S774" s="92" t="b">
        <v>0</v>
      </c>
      <c r="T774" s="100">
        <v>1</v>
      </c>
      <c r="U774" s="100">
        <v>1.0814745913760694E+19</v>
      </c>
      <c r="V774" s="100"/>
    </row>
    <row r="775" spans="4:22" ht="15" customHeight="1">
      <c r="D775" s="98" t="b">
        <v>0</v>
      </c>
      <c r="E775" s="93">
        <v>0</v>
      </c>
      <c r="F775" s="91">
        <v>3</v>
      </c>
      <c r="G775" s="91" t="s">
        <v>74</v>
      </c>
      <c r="H775" s="92">
        <v>14</v>
      </c>
      <c r="I775" s="92">
        <v>4</v>
      </c>
      <c r="J775" s="92">
        <v>1</v>
      </c>
      <c r="K775" s="92">
        <v>39.6875</v>
      </c>
      <c r="L775" s="92" t="s">
        <v>75</v>
      </c>
      <c r="M775" s="92" t="s">
        <v>76</v>
      </c>
      <c r="N775" s="92" t="s">
        <v>89</v>
      </c>
      <c r="O775" s="92" t="b">
        <v>0</v>
      </c>
      <c r="P775" s="92"/>
      <c r="Q775" s="92" t="s">
        <v>79</v>
      </c>
      <c r="R775" s="92" t="s">
        <v>80</v>
      </c>
      <c r="S775" s="92" t="b">
        <v>0</v>
      </c>
      <c r="T775" s="100">
        <v>1</v>
      </c>
      <c r="U775" s="100">
        <v>1.3394283315585268E+19</v>
      </c>
      <c r="V775" s="100"/>
    </row>
    <row r="776" spans="4:22" ht="15" customHeight="1">
      <c r="D776" s="98" t="b">
        <v>0</v>
      </c>
      <c r="E776" s="93">
        <v>0</v>
      </c>
      <c r="F776" s="91">
        <v>3</v>
      </c>
      <c r="G776" s="91" t="s">
        <v>74</v>
      </c>
      <c r="H776" s="92">
        <v>19</v>
      </c>
      <c r="I776" s="92">
        <v>0</v>
      </c>
      <c r="J776" s="92">
        <v>0</v>
      </c>
      <c r="K776" s="92">
        <v>10.1708</v>
      </c>
      <c r="L776" s="92" t="s">
        <v>75</v>
      </c>
      <c r="M776" s="92" t="s">
        <v>76</v>
      </c>
      <c r="N776" s="92" t="s">
        <v>77</v>
      </c>
      <c r="O776" s="92" t="b">
        <v>1</v>
      </c>
      <c r="P776" s="92"/>
      <c r="Q776" s="92" t="s">
        <v>79</v>
      </c>
      <c r="R776" s="92" t="s">
        <v>80</v>
      </c>
      <c r="S776" s="92" t="b">
        <v>1</v>
      </c>
      <c r="T776" s="100">
        <v>1</v>
      </c>
      <c r="U776" s="100">
        <v>7.1899029808817019E+18</v>
      </c>
      <c r="V776" s="100"/>
    </row>
    <row r="777" spans="4:22" ht="15" customHeight="1">
      <c r="D777" s="98" t="b">
        <v>0</v>
      </c>
      <c r="E777" s="93">
        <v>0</v>
      </c>
      <c r="F777" s="91">
        <v>3</v>
      </c>
      <c r="G777" s="91" t="s">
        <v>74</v>
      </c>
      <c r="H777" s="92">
        <v>18</v>
      </c>
      <c r="I777" s="92">
        <v>0</v>
      </c>
      <c r="J777" s="92">
        <v>0</v>
      </c>
      <c r="K777" s="92">
        <v>7.7957999999999998</v>
      </c>
      <c r="L777" s="92" t="s">
        <v>75</v>
      </c>
      <c r="M777" s="92" t="s">
        <v>76</v>
      </c>
      <c r="N777" s="92" t="s">
        <v>77</v>
      </c>
      <c r="O777" s="92" t="b">
        <v>1</v>
      </c>
      <c r="P777" s="92"/>
      <c r="Q777" s="92" t="s">
        <v>79</v>
      </c>
      <c r="R777" s="92" t="s">
        <v>80</v>
      </c>
      <c r="S777" s="92" t="b">
        <v>1</v>
      </c>
      <c r="T777" s="100">
        <v>1</v>
      </c>
      <c r="U777" s="100">
        <v>1.6626347841447576E+19</v>
      </c>
      <c r="V777" s="100"/>
    </row>
    <row r="778" spans="4:22" ht="15" customHeight="1">
      <c r="D778" s="98" t="b">
        <v>0</v>
      </c>
      <c r="E778" s="93">
        <v>1</v>
      </c>
      <c r="F778" s="91">
        <v>1</v>
      </c>
      <c r="G778" s="91" t="s">
        <v>81</v>
      </c>
      <c r="H778" s="92">
        <v>15</v>
      </c>
      <c r="I778" s="92">
        <v>0</v>
      </c>
      <c r="J778" s="92">
        <v>1</v>
      </c>
      <c r="K778" s="92">
        <v>211.33750000000001</v>
      </c>
      <c r="L778" s="92" t="s">
        <v>75</v>
      </c>
      <c r="M778" s="92" t="s">
        <v>82</v>
      </c>
      <c r="N778" s="92" t="s">
        <v>89</v>
      </c>
      <c r="O778" s="92" t="b">
        <v>0</v>
      </c>
      <c r="P778" s="92" t="s">
        <v>94</v>
      </c>
      <c r="Q778" s="92" t="s">
        <v>79</v>
      </c>
      <c r="R778" s="92" t="s">
        <v>85</v>
      </c>
      <c r="S778" s="92" t="b">
        <v>0</v>
      </c>
      <c r="T778" s="100">
        <v>0</v>
      </c>
      <c r="U778" s="100">
        <v>4.5071773735302077E+18</v>
      </c>
      <c r="V778" s="100"/>
    </row>
    <row r="779" spans="4:22" ht="15" customHeight="1">
      <c r="D779" s="98" t="b">
        <v>0</v>
      </c>
      <c r="E779" s="93">
        <v>1</v>
      </c>
      <c r="F779" s="91">
        <v>1</v>
      </c>
      <c r="G779" s="91" t="s">
        <v>74</v>
      </c>
      <c r="H779" s="92">
        <v>31</v>
      </c>
      <c r="I779" s="92">
        <v>1</v>
      </c>
      <c r="J779" s="92">
        <v>0</v>
      </c>
      <c r="K779" s="92">
        <v>57</v>
      </c>
      <c r="L779" s="92" t="s">
        <v>75</v>
      </c>
      <c r="M779" s="92" t="s">
        <v>82</v>
      </c>
      <c r="N779" s="92" t="s">
        <v>77</v>
      </c>
      <c r="O779" s="92" t="b">
        <v>1</v>
      </c>
      <c r="P779" s="92" t="s">
        <v>94</v>
      </c>
      <c r="Q779" s="92" t="s">
        <v>79</v>
      </c>
      <c r="R779" s="92" t="s">
        <v>85</v>
      </c>
      <c r="S779" s="92" t="b">
        <v>0</v>
      </c>
      <c r="T779" s="100">
        <v>0</v>
      </c>
      <c r="U779" s="100">
        <v>3.0112356138653061E+18</v>
      </c>
      <c r="V779" s="100"/>
    </row>
    <row r="780" spans="4:22" ht="15" customHeight="1">
      <c r="D780" s="98" t="b">
        <v>0</v>
      </c>
      <c r="E780" s="93">
        <v>1</v>
      </c>
      <c r="F780" s="91">
        <v>3</v>
      </c>
      <c r="G780" s="91" t="s">
        <v>81</v>
      </c>
      <c r="H780" s="92">
        <v>4</v>
      </c>
      <c r="I780" s="92">
        <v>0</v>
      </c>
      <c r="J780" s="92">
        <v>1</v>
      </c>
      <c r="K780" s="92">
        <v>13.416700000000001</v>
      </c>
      <c r="L780" s="92" t="s">
        <v>78</v>
      </c>
      <c r="M780" s="92" t="s">
        <v>76</v>
      </c>
      <c r="N780" s="92" t="s">
        <v>89</v>
      </c>
      <c r="O780" s="92" t="b">
        <v>0</v>
      </c>
      <c r="P780" s="92"/>
      <c r="Q780" s="92" t="s">
        <v>84</v>
      </c>
      <c r="R780" s="92" t="s">
        <v>85</v>
      </c>
      <c r="S780" s="92" t="b">
        <v>0</v>
      </c>
      <c r="T780" s="100">
        <v>1</v>
      </c>
      <c r="U780" s="100">
        <v>1.6214000942138993E+19</v>
      </c>
      <c r="V780" s="100"/>
    </row>
    <row r="781" spans="4:22" ht="15" customHeight="1">
      <c r="D781" s="98" t="b">
        <v>0</v>
      </c>
      <c r="E781" s="93">
        <v>1</v>
      </c>
      <c r="F781" s="91">
        <v>3</v>
      </c>
      <c r="G781" s="91" t="s">
        <v>74</v>
      </c>
      <c r="H781" s="92"/>
      <c r="I781" s="92">
        <v>0</v>
      </c>
      <c r="J781" s="92">
        <v>0</v>
      </c>
      <c r="K781" s="92">
        <v>56.495800000000003</v>
      </c>
      <c r="L781" s="92" t="s">
        <v>75</v>
      </c>
      <c r="M781" s="92" t="s">
        <v>76</v>
      </c>
      <c r="N781" s="92" t="s">
        <v>77</v>
      </c>
      <c r="O781" s="92" t="b">
        <v>1</v>
      </c>
      <c r="P781" s="92"/>
      <c r="Q781" s="92" t="s">
        <v>79</v>
      </c>
      <c r="R781" s="92" t="s">
        <v>85</v>
      </c>
      <c r="S781" s="92" t="b">
        <v>1</v>
      </c>
      <c r="T781" s="100">
        <v>1</v>
      </c>
      <c r="U781" s="100">
        <v>1.6237976658264005E+18</v>
      </c>
      <c r="V781" s="100"/>
    </row>
    <row r="782" spans="4:22" ht="15" customHeight="1">
      <c r="D782" s="98" t="b">
        <v>0</v>
      </c>
      <c r="E782" s="93">
        <v>0</v>
      </c>
      <c r="F782" s="91">
        <v>3</v>
      </c>
      <c r="G782" s="91" t="s">
        <v>74</v>
      </c>
      <c r="H782" s="92">
        <v>25</v>
      </c>
      <c r="I782" s="92">
        <v>0</v>
      </c>
      <c r="J782" s="92">
        <v>0</v>
      </c>
      <c r="K782" s="92">
        <v>7.2249999999999996</v>
      </c>
      <c r="L782" s="92" t="s">
        <v>78</v>
      </c>
      <c r="M782" s="92" t="s">
        <v>76</v>
      </c>
      <c r="N782" s="92" t="s">
        <v>77</v>
      </c>
      <c r="O782" s="92" t="b">
        <v>1</v>
      </c>
      <c r="P782" s="92"/>
      <c r="Q782" s="92" t="s">
        <v>84</v>
      </c>
      <c r="R782" s="92" t="s">
        <v>80</v>
      </c>
      <c r="S782" s="92" t="b">
        <v>1</v>
      </c>
      <c r="T782" s="100">
        <v>1</v>
      </c>
      <c r="U782" s="100">
        <v>9.2594633489057818E+17</v>
      </c>
      <c r="V782" s="100"/>
    </row>
    <row r="783" spans="4:22" ht="15" customHeight="1">
      <c r="D783" s="98" t="b">
        <v>0</v>
      </c>
      <c r="E783" s="93">
        <v>0</v>
      </c>
      <c r="F783" s="91">
        <v>1</v>
      </c>
      <c r="G783" s="91" t="s">
        <v>74</v>
      </c>
      <c r="H783" s="92">
        <v>60</v>
      </c>
      <c r="I783" s="92">
        <v>0</v>
      </c>
      <c r="J783" s="92">
        <v>0</v>
      </c>
      <c r="K783" s="92">
        <v>26.55</v>
      </c>
      <c r="L783" s="92" t="s">
        <v>75</v>
      </c>
      <c r="M783" s="92" t="s">
        <v>82</v>
      </c>
      <c r="N783" s="92" t="s">
        <v>77</v>
      </c>
      <c r="O783" s="92" t="b">
        <v>1</v>
      </c>
      <c r="P783" s="92"/>
      <c r="Q783" s="92" t="s">
        <v>79</v>
      </c>
      <c r="R783" s="92" t="s">
        <v>80</v>
      </c>
      <c r="S783" s="92" t="b">
        <v>1</v>
      </c>
      <c r="T783" s="100">
        <v>1</v>
      </c>
      <c r="U783" s="100">
        <v>3.5846404668993142E+18</v>
      </c>
      <c r="V783" s="100"/>
    </row>
    <row r="784" spans="4:22" ht="15" customHeight="1">
      <c r="D784" s="98" t="b">
        <v>0</v>
      </c>
      <c r="E784" s="93">
        <v>0</v>
      </c>
      <c r="F784" s="91">
        <v>2</v>
      </c>
      <c r="G784" s="91" t="s">
        <v>74</v>
      </c>
      <c r="H784" s="92">
        <v>52</v>
      </c>
      <c r="I784" s="92">
        <v>0</v>
      </c>
      <c r="J784" s="92">
        <v>0</v>
      </c>
      <c r="K784" s="92">
        <v>13.5</v>
      </c>
      <c r="L784" s="92" t="s">
        <v>75</v>
      </c>
      <c r="M784" s="92" t="s">
        <v>90</v>
      </c>
      <c r="N784" s="92" t="s">
        <v>77</v>
      </c>
      <c r="O784" s="92" t="b">
        <v>1</v>
      </c>
      <c r="P784" s="92"/>
      <c r="Q784" s="92" t="s">
        <v>79</v>
      </c>
      <c r="R784" s="92" t="s">
        <v>80</v>
      </c>
      <c r="S784" s="92" t="b">
        <v>1</v>
      </c>
      <c r="T784" s="100">
        <v>1</v>
      </c>
      <c r="U784" s="100">
        <v>1.9015215417286093E+18</v>
      </c>
      <c r="V784" s="100"/>
    </row>
    <row r="785" spans="4:22" ht="15" customHeight="1">
      <c r="D785" s="98" t="b">
        <v>0</v>
      </c>
      <c r="E785" s="93">
        <v>0</v>
      </c>
      <c r="F785" s="91">
        <v>3</v>
      </c>
      <c r="G785" s="91" t="s">
        <v>74</v>
      </c>
      <c r="H785" s="92">
        <v>44</v>
      </c>
      <c r="I785" s="92">
        <v>0</v>
      </c>
      <c r="J785" s="92">
        <v>0</v>
      </c>
      <c r="K785" s="92">
        <v>8.0500000000000007</v>
      </c>
      <c r="L785" s="92" t="s">
        <v>75</v>
      </c>
      <c r="M785" s="92" t="s">
        <v>76</v>
      </c>
      <c r="N785" s="92" t="s">
        <v>77</v>
      </c>
      <c r="O785" s="92" t="b">
        <v>1</v>
      </c>
      <c r="P785" s="92"/>
      <c r="Q785" s="92" t="s">
        <v>79</v>
      </c>
      <c r="R785" s="92" t="s">
        <v>80</v>
      </c>
      <c r="S785" s="92" t="b">
        <v>1</v>
      </c>
      <c r="T785" s="100">
        <v>1</v>
      </c>
      <c r="U785" s="100">
        <v>9.4568356093096899E+18</v>
      </c>
      <c r="V785" s="100"/>
    </row>
    <row r="786" spans="4:22" ht="15" customHeight="1">
      <c r="D786" s="98" t="b">
        <v>0</v>
      </c>
      <c r="E786" s="93">
        <v>1</v>
      </c>
      <c r="F786" s="91">
        <v>3</v>
      </c>
      <c r="G786" s="91" t="s">
        <v>81</v>
      </c>
      <c r="H786" s="92"/>
      <c r="I786" s="92">
        <v>0</v>
      </c>
      <c r="J786" s="92">
        <v>0</v>
      </c>
      <c r="K786" s="92">
        <v>7.7332999999999998</v>
      </c>
      <c r="L786" s="92" t="s">
        <v>86</v>
      </c>
      <c r="M786" s="92" t="s">
        <v>76</v>
      </c>
      <c r="N786" s="92" t="s">
        <v>83</v>
      </c>
      <c r="O786" s="92" t="b">
        <v>0</v>
      </c>
      <c r="P786" s="92"/>
      <c r="Q786" s="92" t="s">
        <v>87</v>
      </c>
      <c r="R786" s="92" t="s">
        <v>85</v>
      </c>
      <c r="S786" s="92" t="b">
        <v>1</v>
      </c>
      <c r="T786" s="100">
        <v>1</v>
      </c>
      <c r="U786" s="100">
        <v>7.6621181987129068E+18</v>
      </c>
      <c r="V786" s="100"/>
    </row>
    <row r="787" spans="4:22" ht="15" customHeight="1">
      <c r="D787" s="98" t="b">
        <v>0</v>
      </c>
      <c r="E787" s="93">
        <v>0</v>
      </c>
      <c r="F787" s="91">
        <v>1</v>
      </c>
      <c r="G787" s="91" t="s">
        <v>74</v>
      </c>
      <c r="H787" s="92">
        <v>49</v>
      </c>
      <c r="I787" s="92">
        <v>1</v>
      </c>
      <c r="J787" s="92">
        <v>1</v>
      </c>
      <c r="K787" s="92">
        <v>110.88330000000001</v>
      </c>
      <c r="L787" s="92" t="s">
        <v>78</v>
      </c>
      <c r="M787" s="92" t="s">
        <v>82</v>
      </c>
      <c r="N787" s="92" t="s">
        <v>77</v>
      </c>
      <c r="O787" s="92" t="b">
        <v>1</v>
      </c>
      <c r="P787" s="92" t="s">
        <v>78</v>
      </c>
      <c r="Q787" s="92" t="s">
        <v>84</v>
      </c>
      <c r="R787" s="92" t="s">
        <v>80</v>
      </c>
      <c r="S787" s="92" t="b">
        <v>0</v>
      </c>
      <c r="T787" s="100">
        <v>0</v>
      </c>
      <c r="U787" s="100">
        <v>1.6041294996377414E+19</v>
      </c>
      <c r="V787" s="100"/>
    </row>
    <row r="788" spans="4:22" ht="15" customHeight="1">
      <c r="D788" s="98" t="b">
        <v>0</v>
      </c>
      <c r="E788" s="93">
        <v>0</v>
      </c>
      <c r="F788" s="91">
        <v>3</v>
      </c>
      <c r="G788" s="91" t="s">
        <v>74</v>
      </c>
      <c r="H788" s="92">
        <v>42</v>
      </c>
      <c r="I788" s="92">
        <v>0</v>
      </c>
      <c r="J788" s="92">
        <v>0</v>
      </c>
      <c r="K788" s="92">
        <v>7.65</v>
      </c>
      <c r="L788" s="92" t="s">
        <v>75</v>
      </c>
      <c r="M788" s="92" t="s">
        <v>76</v>
      </c>
      <c r="N788" s="92" t="s">
        <v>77</v>
      </c>
      <c r="O788" s="92" t="b">
        <v>1</v>
      </c>
      <c r="P788" s="92" t="s">
        <v>95</v>
      </c>
      <c r="Q788" s="92" t="s">
        <v>79</v>
      </c>
      <c r="R788" s="92" t="s">
        <v>80</v>
      </c>
      <c r="S788" s="92" t="b">
        <v>1</v>
      </c>
      <c r="T788" s="100">
        <v>0</v>
      </c>
      <c r="U788" s="100">
        <v>1.4153858268015247E+19</v>
      </c>
      <c r="V788" s="100"/>
    </row>
    <row r="789" spans="4:22" ht="15" customHeight="1">
      <c r="D789" s="98" t="b">
        <v>0</v>
      </c>
      <c r="E789" s="93">
        <v>1</v>
      </c>
      <c r="F789" s="91">
        <v>1</v>
      </c>
      <c r="G789" s="91" t="s">
        <v>81</v>
      </c>
      <c r="H789" s="92">
        <v>18</v>
      </c>
      <c r="I789" s="92">
        <v>1</v>
      </c>
      <c r="J789" s="92">
        <v>0</v>
      </c>
      <c r="K789" s="92">
        <v>227.52500000000001</v>
      </c>
      <c r="L789" s="92" t="s">
        <v>78</v>
      </c>
      <c r="M789" s="92" t="s">
        <v>82</v>
      </c>
      <c r="N789" s="92" t="s">
        <v>83</v>
      </c>
      <c r="O789" s="92" t="b">
        <v>0</v>
      </c>
      <c r="P789" s="92" t="s">
        <v>78</v>
      </c>
      <c r="Q789" s="92" t="s">
        <v>84</v>
      </c>
      <c r="R789" s="92" t="s">
        <v>85</v>
      </c>
      <c r="S789" s="92" t="b">
        <v>0</v>
      </c>
      <c r="T789" s="100">
        <v>0</v>
      </c>
      <c r="U789" s="100">
        <v>3.0161442881724836E+18</v>
      </c>
      <c r="V789" s="100"/>
    </row>
    <row r="790" spans="4:22" ht="15" customHeight="1">
      <c r="D790" s="98" t="b">
        <v>0</v>
      </c>
      <c r="E790" s="93">
        <v>1</v>
      </c>
      <c r="F790" s="91">
        <v>1</v>
      </c>
      <c r="G790" s="91" t="s">
        <v>74</v>
      </c>
      <c r="H790" s="92">
        <v>35</v>
      </c>
      <c r="I790" s="92">
        <v>0</v>
      </c>
      <c r="J790" s="92">
        <v>0</v>
      </c>
      <c r="K790" s="92">
        <v>26.287500000000001</v>
      </c>
      <c r="L790" s="92" t="s">
        <v>75</v>
      </c>
      <c r="M790" s="92" t="s">
        <v>82</v>
      </c>
      <c r="N790" s="92" t="s">
        <v>77</v>
      </c>
      <c r="O790" s="92" t="b">
        <v>1</v>
      </c>
      <c r="P790" s="92" t="s">
        <v>88</v>
      </c>
      <c r="Q790" s="92" t="s">
        <v>79</v>
      </c>
      <c r="R790" s="92" t="s">
        <v>85</v>
      </c>
      <c r="S790" s="92" t="b">
        <v>1</v>
      </c>
      <c r="T790" s="100">
        <v>0</v>
      </c>
      <c r="U790" s="100">
        <v>1.1588367689854194E+19</v>
      </c>
      <c r="V790" s="100"/>
    </row>
    <row r="791" spans="4:22" ht="15" customHeight="1">
      <c r="D791" s="98" t="b">
        <v>0</v>
      </c>
      <c r="E791" s="93">
        <v>0</v>
      </c>
      <c r="F791" s="91">
        <v>3</v>
      </c>
      <c r="G791" s="91" t="s">
        <v>81</v>
      </c>
      <c r="H791" s="92">
        <v>18</v>
      </c>
      <c r="I791" s="92">
        <v>0</v>
      </c>
      <c r="J791" s="92">
        <v>1</v>
      </c>
      <c r="K791" s="92">
        <v>14.4542</v>
      </c>
      <c r="L791" s="92" t="s">
        <v>78</v>
      </c>
      <c r="M791" s="92" t="s">
        <v>76</v>
      </c>
      <c r="N791" s="92" t="s">
        <v>83</v>
      </c>
      <c r="O791" s="92" t="b">
        <v>0</v>
      </c>
      <c r="P791" s="92"/>
      <c r="Q791" s="92" t="s">
        <v>84</v>
      </c>
      <c r="R791" s="92" t="s">
        <v>80</v>
      </c>
      <c r="S791" s="92" t="b">
        <v>0</v>
      </c>
      <c r="T791" s="100">
        <v>1</v>
      </c>
      <c r="U791" s="100">
        <v>1.6194300668258896E+19</v>
      </c>
      <c r="V791" s="100"/>
    </row>
    <row r="792" spans="4:22" ht="15" customHeight="1">
      <c r="D792" s="98" t="b">
        <v>0</v>
      </c>
      <c r="E792" s="93">
        <v>0</v>
      </c>
      <c r="F792" s="91">
        <v>3</v>
      </c>
      <c r="G792" s="91" t="s">
        <v>74</v>
      </c>
      <c r="H792" s="92">
        <v>25</v>
      </c>
      <c r="I792" s="92">
        <v>0</v>
      </c>
      <c r="J792" s="92">
        <v>0</v>
      </c>
      <c r="K792" s="92">
        <v>7.7416999999999998</v>
      </c>
      <c r="L792" s="92" t="s">
        <v>86</v>
      </c>
      <c r="M792" s="92" t="s">
        <v>76</v>
      </c>
      <c r="N792" s="92" t="s">
        <v>77</v>
      </c>
      <c r="O792" s="92" t="b">
        <v>1</v>
      </c>
      <c r="P792" s="92"/>
      <c r="Q792" s="92" t="s">
        <v>87</v>
      </c>
      <c r="R792" s="92" t="s">
        <v>80</v>
      </c>
      <c r="S792" s="92" t="b">
        <v>1</v>
      </c>
      <c r="T792" s="100">
        <v>1</v>
      </c>
      <c r="U792" s="100">
        <v>4.8147720159564012E+18</v>
      </c>
      <c r="V792" s="100"/>
    </row>
    <row r="793" spans="4:22" ht="15" customHeight="1">
      <c r="D793" s="98" t="b">
        <v>0</v>
      </c>
      <c r="E793" s="93">
        <v>0</v>
      </c>
      <c r="F793" s="91">
        <v>3</v>
      </c>
      <c r="G793" s="91" t="s">
        <v>74</v>
      </c>
      <c r="H793" s="92">
        <v>26</v>
      </c>
      <c r="I793" s="92">
        <v>1</v>
      </c>
      <c r="J793" s="92">
        <v>0</v>
      </c>
      <c r="K793" s="92">
        <v>7.8541999999999996</v>
      </c>
      <c r="L793" s="92" t="s">
        <v>75</v>
      </c>
      <c r="M793" s="92" t="s">
        <v>76</v>
      </c>
      <c r="N793" s="92" t="s">
        <v>77</v>
      </c>
      <c r="O793" s="92" t="b">
        <v>1</v>
      </c>
      <c r="P793" s="92"/>
      <c r="Q793" s="92" t="s">
        <v>79</v>
      </c>
      <c r="R793" s="92" t="s">
        <v>80</v>
      </c>
      <c r="S793" s="92" t="b">
        <v>0</v>
      </c>
      <c r="T793" s="100">
        <v>1</v>
      </c>
      <c r="U793" s="100">
        <v>2.3036345240661215E+18</v>
      </c>
      <c r="V793" s="100"/>
    </row>
    <row r="794" spans="4:22" ht="15" customHeight="1">
      <c r="D794" s="98" t="b">
        <v>0</v>
      </c>
      <c r="E794" s="93">
        <v>0</v>
      </c>
      <c r="F794" s="91">
        <v>2</v>
      </c>
      <c r="G794" s="91" t="s">
        <v>74</v>
      </c>
      <c r="H794" s="92">
        <v>39</v>
      </c>
      <c r="I794" s="92">
        <v>0</v>
      </c>
      <c r="J794" s="92">
        <v>0</v>
      </c>
      <c r="K794" s="92">
        <v>26</v>
      </c>
      <c r="L794" s="92" t="s">
        <v>75</v>
      </c>
      <c r="M794" s="92" t="s">
        <v>90</v>
      </c>
      <c r="N794" s="92" t="s">
        <v>77</v>
      </c>
      <c r="O794" s="92" t="b">
        <v>1</v>
      </c>
      <c r="P794" s="92"/>
      <c r="Q794" s="92" t="s">
        <v>79</v>
      </c>
      <c r="R794" s="92" t="s">
        <v>80</v>
      </c>
      <c r="S794" s="92" t="b">
        <v>1</v>
      </c>
      <c r="T794" s="100">
        <v>1</v>
      </c>
      <c r="U794" s="100">
        <v>5.4028188490746816E+17</v>
      </c>
      <c r="V794" s="100"/>
    </row>
    <row r="795" spans="4:22" ht="15" customHeight="1">
      <c r="D795" s="98" t="b">
        <v>0</v>
      </c>
      <c r="E795" s="93">
        <v>1</v>
      </c>
      <c r="F795" s="91">
        <v>2</v>
      </c>
      <c r="G795" s="91" t="s">
        <v>81</v>
      </c>
      <c r="H795" s="92">
        <v>45</v>
      </c>
      <c r="I795" s="92">
        <v>0</v>
      </c>
      <c r="J795" s="92">
        <v>0</v>
      </c>
      <c r="K795" s="92">
        <v>13.5</v>
      </c>
      <c r="L795" s="92" t="s">
        <v>75</v>
      </c>
      <c r="M795" s="92" t="s">
        <v>90</v>
      </c>
      <c r="N795" s="92" t="s">
        <v>83</v>
      </c>
      <c r="O795" s="92" t="b">
        <v>0</v>
      </c>
      <c r="P795" s="92"/>
      <c r="Q795" s="92" t="s">
        <v>79</v>
      </c>
      <c r="R795" s="92" t="s">
        <v>85</v>
      </c>
      <c r="S795" s="92" t="b">
        <v>1</v>
      </c>
      <c r="T795" s="100">
        <v>1</v>
      </c>
      <c r="U795" s="100">
        <v>1.7908673245325197E+19</v>
      </c>
      <c r="V795" s="100"/>
    </row>
    <row r="796" spans="4:22" ht="15" customHeight="1">
      <c r="D796" s="98" t="b">
        <v>0</v>
      </c>
      <c r="E796" s="93">
        <v>1</v>
      </c>
      <c r="F796" s="91">
        <v>1</v>
      </c>
      <c r="G796" s="91" t="s">
        <v>74</v>
      </c>
      <c r="H796" s="92">
        <v>42</v>
      </c>
      <c r="I796" s="92">
        <v>0</v>
      </c>
      <c r="J796" s="92">
        <v>0</v>
      </c>
      <c r="K796" s="92">
        <v>26.287500000000001</v>
      </c>
      <c r="L796" s="92" t="s">
        <v>75</v>
      </c>
      <c r="M796" s="92" t="s">
        <v>82</v>
      </c>
      <c r="N796" s="92" t="s">
        <v>77</v>
      </c>
      <c r="O796" s="92" t="b">
        <v>1</v>
      </c>
      <c r="P796" s="92" t="s">
        <v>88</v>
      </c>
      <c r="Q796" s="92" t="s">
        <v>79</v>
      </c>
      <c r="R796" s="92" t="s">
        <v>85</v>
      </c>
      <c r="S796" s="92" t="b">
        <v>1</v>
      </c>
      <c r="T796" s="100">
        <v>0</v>
      </c>
      <c r="U796" s="100">
        <v>1.6689690123671357E+19</v>
      </c>
      <c r="V796" s="100"/>
    </row>
    <row r="797" spans="4:22" ht="15" customHeight="1">
      <c r="D797" s="98" t="b">
        <v>0</v>
      </c>
      <c r="E797" s="93">
        <v>1</v>
      </c>
      <c r="F797" s="91">
        <v>1</v>
      </c>
      <c r="G797" s="91" t="s">
        <v>81</v>
      </c>
      <c r="H797" s="92">
        <v>22</v>
      </c>
      <c r="I797" s="92">
        <v>0</v>
      </c>
      <c r="J797" s="92">
        <v>0</v>
      </c>
      <c r="K797" s="92">
        <v>151.55000000000001</v>
      </c>
      <c r="L797" s="92" t="s">
        <v>75</v>
      </c>
      <c r="M797" s="92" t="s">
        <v>82</v>
      </c>
      <c r="N797" s="92" t="s">
        <v>83</v>
      </c>
      <c r="O797" s="92" t="b">
        <v>0</v>
      </c>
      <c r="P797" s="92"/>
      <c r="Q797" s="92" t="s">
        <v>79</v>
      </c>
      <c r="R797" s="92" t="s">
        <v>85</v>
      </c>
      <c r="S797" s="92" t="b">
        <v>1</v>
      </c>
      <c r="T797" s="100">
        <v>1</v>
      </c>
      <c r="U797" s="100">
        <v>1.6259350589685797E+19</v>
      </c>
      <c r="V797" s="100"/>
    </row>
    <row r="798" spans="4:22" ht="15" customHeight="1">
      <c r="D798" s="98" t="b">
        <v>0</v>
      </c>
      <c r="E798" s="93">
        <v>1</v>
      </c>
      <c r="F798" s="91">
        <v>3</v>
      </c>
      <c r="G798" s="91" t="s">
        <v>74</v>
      </c>
      <c r="H798" s="92"/>
      <c r="I798" s="92">
        <v>1</v>
      </c>
      <c r="J798" s="92">
        <v>1</v>
      </c>
      <c r="K798" s="92">
        <v>15.245799999999999</v>
      </c>
      <c r="L798" s="92" t="s">
        <v>78</v>
      </c>
      <c r="M798" s="92" t="s">
        <v>76</v>
      </c>
      <c r="N798" s="92" t="s">
        <v>77</v>
      </c>
      <c r="O798" s="92" t="b">
        <v>1</v>
      </c>
      <c r="P798" s="92"/>
      <c r="Q798" s="92" t="s">
        <v>84</v>
      </c>
      <c r="R798" s="92" t="s">
        <v>85</v>
      </c>
      <c r="S798" s="92" t="b">
        <v>0</v>
      </c>
      <c r="T798" s="100">
        <v>1</v>
      </c>
      <c r="U798" s="100">
        <v>3.9929924944378711E+18</v>
      </c>
      <c r="V798" s="100"/>
    </row>
    <row r="799" spans="4:22" ht="15" customHeight="1">
      <c r="D799" s="98" t="b">
        <v>0</v>
      </c>
      <c r="E799" s="93">
        <v>1</v>
      </c>
      <c r="F799" s="91">
        <v>1</v>
      </c>
      <c r="G799" s="91" t="s">
        <v>81</v>
      </c>
      <c r="H799" s="92">
        <v>24</v>
      </c>
      <c r="I799" s="92">
        <v>0</v>
      </c>
      <c r="J799" s="92">
        <v>0</v>
      </c>
      <c r="K799" s="92">
        <v>49.504199999999997</v>
      </c>
      <c r="L799" s="92" t="s">
        <v>78</v>
      </c>
      <c r="M799" s="92" t="s">
        <v>82</v>
      </c>
      <c r="N799" s="92" t="s">
        <v>83</v>
      </c>
      <c r="O799" s="92" t="b">
        <v>0</v>
      </c>
      <c r="P799" s="92" t="s">
        <v>78</v>
      </c>
      <c r="Q799" s="92" t="s">
        <v>84</v>
      </c>
      <c r="R799" s="92" t="s">
        <v>85</v>
      </c>
      <c r="S799" s="92" t="b">
        <v>1</v>
      </c>
      <c r="T799" s="100">
        <v>0</v>
      </c>
      <c r="U799" s="100">
        <v>1.2420206137310349E+19</v>
      </c>
      <c r="V799" s="100"/>
    </row>
    <row r="800" spans="4:22" ht="15" customHeight="1">
      <c r="D800" s="98" t="b">
        <v>0</v>
      </c>
      <c r="E800" s="93">
        <v>0</v>
      </c>
      <c r="F800" s="91">
        <v>1</v>
      </c>
      <c r="G800" s="91" t="s">
        <v>74</v>
      </c>
      <c r="H800" s="92"/>
      <c r="I800" s="92">
        <v>0</v>
      </c>
      <c r="J800" s="92">
        <v>0</v>
      </c>
      <c r="K800" s="92">
        <v>26.55</v>
      </c>
      <c r="L800" s="92" t="s">
        <v>75</v>
      </c>
      <c r="M800" s="92" t="s">
        <v>82</v>
      </c>
      <c r="N800" s="92" t="s">
        <v>77</v>
      </c>
      <c r="O800" s="92" t="b">
        <v>1</v>
      </c>
      <c r="P800" s="92" t="s">
        <v>78</v>
      </c>
      <c r="Q800" s="92" t="s">
        <v>79</v>
      </c>
      <c r="R800" s="92" t="s">
        <v>80</v>
      </c>
      <c r="S800" s="92" t="b">
        <v>1</v>
      </c>
      <c r="T800" s="100">
        <v>1</v>
      </c>
      <c r="U800" s="100">
        <v>2.8158430070330256E+17</v>
      </c>
      <c r="V800" s="100"/>
    </row>
    <row r="801" spans="4:22" ht="15" customHeight="1">
      <c r="D801" s="98" t="b">
        <v>0</v>
      </c>
      <c r="E801" s="93">
        <v>1</v>
      </c>
      <c r="F801" s="91">
        <v>1</v>
      </c>
      <c r="G801" s="91" t="s">
        <v>74</v>
      </c>
      <c r="H801" s="92">
        <v>48</v>
      </c>
      <c r="I801" s="92">
        <v>1</v>
      </c>
      <c r="J801" s="92">
        <v>0</v>
      </c>
      <c r="K801" s="92">
        <v>52</v>
      </c>
      <c r="L801" s="92" t="s">
        <v>75</v>
      </c>
      <c r="M801" s="92" t="s">
        <v>82</v>
      </c>
      <c r="N801" s="92" t="s">
        <v>77</v>
      </c>
      <c r="O801" s="92" t="b">
        <v>1</v>
      </c>
      <c r="P801" s="92" t="s">
        <v>78</v>
      </c>
      <c r="Q801" s="92" t="s">
        <v>79</v>
      </c>
      <c r="R801" s="92" t="s">
        <v>85</v>
      </c>
      <c r="S801" s="92" t="b">
        <v>0</v>
      </c>
      <c r="T801" s="100">
        <v>0</v>
      </c>
      <c r="U801" s="100">
        <v>3.6623700454456801E+18</v>
      </c>
      <c r="V801" s="100"/>
    </row>
    <row r="802" spans="4:22" ht="15" customHeight="1">
      <c r="D802" s="98" t="b">
        <v>0</v>
      </c>
      <c r="E802" s="93">
        <v>0</v>
      </c>
      <c r="F802" s="91">
        <v>3</v>
      </c>
      <c r="G802" s="91" t="s">
        <v>74</v>
      </c>
      <c r="H802" s="92">
        <v>29</v>
      </c>
      <c r="I802" s="92">
        <v>0</v>
      </c>
      <c r="J802" s="92">
        <v>0</v>
      </c>
      <c r="K802" s="92">
        <v>9.4832999999999998</v>
      </c>
      <c r="L802" s="92" t="s">
        <v>75</v>
      </c>
      <c r="M802" s="92" t="s">
        <v>76</v>
      </c>
      <c r="N802" s="92" t="s">
        <v>77</v>
      </c>
      <c r="O802" s="92" t="b">
        <v>1</v>
      </c>
      <c r="P802" s="92"/>
      <c r="Q802" s="92" t="s">
        <v>79</v>
      </c>
      <c r="R802" s="92" t="s">
        <v>80</v>
      </c>
      <c r="S802" s="92" t="b">
        <v>1</v>
      </c>
      <c r="T802" s="100">
        <v>1</v>
      </c>
      <c r="U802" s="100">
        <v>1.2643350810447919E+19</v>
      </c>
      <c r="V802" s="100"/>
    </row>
    <row r="803" spans="4:22" ht="15" customHeight="1">
      <c r="D803" s="98" t="b">
        <v>0</v>
      </c>
      <c r="E803" s="93">
        <v>0</v>
      </c>
      <c r="F803" s="91">
        <v>2</v>
      </c>
      <c r="G803" s="91" t="s">
        <v>74</v>
      </c>
      <c r="H803" s="92">
        <v>52</v>
      </c>
      <c r="I803" s="92">
        <v>0</v>
      </c>
      <c r="J803" s="92">
        <v>0</v>
      </c>
      <c r="K803" s="92">
        <v>13</v>
      </c>
      <c r="L803" s="92" t="s">
        <v>75</v>
      </c>
      <c r="M803" s="92" t="s">
        <v>90</v>
      </c>
      <c r="N803" s="92" t="s">
        <v>77</v>
      </c>
      <c r="O803" s="92" t="b">
        <v>1</v>
      </c>
      <c r="P803" s="92"/>
      <c r="Q803" s="92" t="s">
        <v>79</v>
      </c>
      <c r="R803" s="92" t="s">
        <v>80</v>
      </c>
      <c r="S803" s="92" t="b">
        <v>1</v>
      </c>
      <c r="T803" s="100">
        <v>1</v>
      </c>
      <c r="U803" s="100">
        <v>8.5010022506520909E+17</v>
      </c>
      <c r="V803" s="100"/>
    </row>
    <row r="804" spans="4:22" ht="15" customHeight="1">
      <c r="D804" s="98" t="b">
        <v>0</v>
      </c>
      <c r="E804" s="93">
        <v>0</v>
      </c>
      <c r="F804" s="91">
        <v>3</v>
      </c>
      <c r="G804" s="91" t="s">
        <v>74</v>
      </c>
      <c r="H804" s="92">
        <v>19</v>
      </c>
      <c r="I804" s="92">
        <v>0</v>
      </c>
      <c r="J804" s="92">
        <v>0</v>
      </c>
      <c r="K804" s="92">
        <v>7.65</v>
      </c>
      <c r="L804" s="92" t="s">
        <v>75</v>
      </c>
      <c r="M804" s="92" t="s">
        <v>76</v>
      </c>
      <c r="N804" s="92" t="s">
        <v>77</v>
      </c>
      <c r="O804" s="92" t="b">
        <v>1</v>
      </c>
      <c r="P804" s="92" t="s">
        <v>95</v>
      </c>
      <c r="Q804" s="92" t="s">
        <v>79</v>
      </c>
      <c r="R804" s="92" t="s">
        <v>80</v>
      </c>
      <c r="S804" s="92" t="b">
        <v>1</v>
      </c>
      <c r="T804" s="100">
        <v>0</v>
      </c>
      <c r="U804" s="100">
        <v>4.0586081456546084E+18</v>
      </c>
      <c r="V804" s="100"/>
    </row>
    <row r="805" spans="4:22" ht="15" customHeight="1">
      <c r="D805" s="98" t="b">
        <v>0</v>
      </c>
      <c r="E805" s="93">
        <v>1</v>
      </c>
      <c r="F805" s="91">
        <v>1</v>
      </c>
      <c r="G805" s="91" t="s">
        <v>81</v>
      </c>
      <c r="H805" s="92">
        <v>38</v>
      </c>
      <c r="I805" s="92">
        <v>0</v>
      </c>
      <c r="J805" s="92">
        <v>0</v>
      </c>
      <c r="K805" s="92">
        <v>227.52500000000001</v>
      </c>
      <c r="L805" s="92" t="s">
        <v>78</v>
      </c>
      <c r="M805" s="92" t="s">
        <v>82</v>
      </c>
      <c r="N805" s="92" t="s">
        <v>83</v>
      </c>
      <c r="O805" s="92" t="b">
        <v>0</v>
      </c>
      <c r="P805" s="92" t="s">
        <v>78</v>
      </c>
      <c r="Q805" s="92" t="s">
        <v>84</v>
      </c>
      <c r="R805" s="92" t="s">
        <v>85</v>
      </c>
      <c r="S805" s="92" t="b">
        <v>1</v>
      </c>
      <c r="T805" s="100">
        <v>0</v>
      </c>
      <c r="U805" s="100">
        <v>3.0920455083615534E+18</v>
      </c>
      <c r="V805" s="100"/>
    </row>
    <row r="806" spans="4:22" ht="15" customHeight="1">
      <c r="D806" s="98" t="b">
        <v>0</v>
      </c>
      <c r="E806" s="93">
        <v>1</v>
      </c>
      <c r="F806" s="91">
        <v>2</v>
      </c>
      <c r="G806" s="91" t="s">
        <v>81</v>
      </c>
      <c r="H806" s="92">
        <v>27</v>
      </c>
      <c r="I806" s="92">
        <v>0</v>
      </c>
      <c r="J806" s="92">
        <v>0</v>
      </c>
      <c r="K806" s="92">
        <v>10.5</v>
      </c>
      <c r="L806" s="92" t="s">
        <v>75</v>
      </c>
      <c r="M806" s="92" t="s">
        <v>90</v>
      </c>
      <c r="N806" s="92" t="s">
        <v>83</v>
      </c>
      <c r="O806" s="92" t="b">
        <v>0</v>
      </c>
      <c r="P806" s="92" t="s">
        <v>88</v>
      </c>
      <c r="Q806" s="92" t="s">
        <v>79</v>
      </c>
      <c r="R806" s="92" t="s">
        <v>85</v>
      </c>
      <c r="S806" s="92" t="b">
        <v>1</v>
      </c>
      <c r="T806" s="100">
        <v>0</v>
      </c>
      <c r="U806" s="100">
        <v>1.5644890316583551E+19</v>
      </c>
      <c r="V806" s="100"/>
    </row>
    <row r="807" spans="4:22" ht="15" customHeight="1">
      <c r="D807" s="98" t="b">
        <v>0</v>
      </c>
      <c r="E807" s="93">
        <v>0</v>
      </c>
      <c r="F807" s="91">
        <v>3</v>
      </c>
      <c r="G807" s="91" t="s">
        <v>74</v>
      </c>
      <c r="H807" s="92"/>
      <c r="I807" s="92">
        <v>0</v>
      </c>
      <c r="J807" s="92">
        <v>0</v>
      </c>
      <c r="K807" s="92">
        <v>15.5</v>
      </c>
      <c r="L807" s="92" t="s">
        <v>86</v>
      </c>
      <c r="M807" s="92" t="s">
        <v>76</v>
      </c>
      <c r="N807" s="92" t="s">
        <v>77</v>
      </c>
      <c r="O807" s="92" t="b">
        <v>1</v>
      </c>
      <c r="P807" s="92"/>
      <c r="Q807" s="92" t="s">
        <v>87</v>
      </c>
      <c r="R807" s="92" t="s">
        <v>80</v>
      </c>
      <c r="S807" s="92" t="b">
        <v>1</v>
      </c>
      <c r="T807" s="100">
        <v>1</v>
      </c>
      <c r="U807" s="100">
        <v>1.9511963374478771E+18</v>
      </c>
      <c r="V807" s="100"/>
    </row>
    <row r="808" spans="4:22" ht="15" customHeight="1">
      <c r="D808" s="98" t="b">
        <v>0</v>
      </c>
      <c r="E808" s="93">
        <v>0</v>
      </c>
      <c r="F808" s="91">
        <v>3</v>
      </c>
      <c r="G808" s="91" t="s">
        <v>74</v>
      </c>
      <c r="H808" s="92">
        <v>33</v>
      </c>
      <c r="I808" s="92">
        <v>0</v>
      </c>
      <c r="J808" s="92">
        <v>0</v>
      </c>
      <c r="K808" s="92">
        <v>7.7750000000000004</v>
      </c>
      <c r="L808" s="92" t="s">
        <v>75</v>
      </c>
      <c r="M808" s="92" t="s">
        <v>76</v>
      </c>
      <c r="N808" s="92" t="s">
        <v>77</v>
      </c>
      <c r="O808" s="92" t="b">
        <v>1</v>
      </c>
      <c r="P808" s="92"/>
      <c r="Q808" s="92" t="s">
        <v>79</v>
      </c>
      <c r="R808" s="92" t="s">
        <v>80</v>
      </c>
      <c r="S808" s="92" t="b">
        <v>1</v>
      </c>
      <c r="T808" s="100">
        <v>1</v>
      </c>
      <c r="U808" s="100">
        <v>1.01336331485773E+18</v>
      </c>
      <c r="V808" s="100"/>
    </row>
    <row r="809" spans="4:22" ht="15" customHeight="1">
      <c r="D809" s="98" t="b">
        <v>0</v>
      </c>
      <c r="E809" s="93">
        <v>1</v>
      </c>
      <c r="F809" s="91">
        <v>2</v>
      </c>
      <c r="G809" s="91" t="s">
        <v>81</v>
      </c>
      <c r="H809" s="92">
        <v>6</v>
      </c>
      <c r="I809" s="92">
        <v>0</v>
      </c>
      <c r="J809" s="92">
        <v>1</v>
      </c>
      <c r="K809" s="92">
        <v>33</v>
      </c>
      <c r="L809" s="92" t="s">
        <v>75</v>
      </c>
      <c r="M809" s="92" t="s">
        <v>90</v>
      </c>
      <c r="N809" s="92" t="s">
        <v>89</v>
      </c>
      <c r="O809" s="92" t="b">
        <v>0</v>
      </c>
      <c r="P809" s="92"/>
      <c r="Q809" s="92" t="s">
        <v>79</v>
      </c>
      <c r="R809" s="92" t="s">
        <v>85</v>
      </c>
      <c r="S809" s="92" t="b">
        <v>0</v>
      </c>
      <c r="T809" s="100">
        <v>1</v>
      </c>
      <c r="U809" s="100">
        <v>1.1494606259659233E+19</v>
      </c>
      <c r="V809" s="100"/>
    </row>
    <row r="810" spans="4:22" ht="15" customHeight="1">
      <c r="D810" s="98" t="b">
        <v>0</v>
      </c>
      <c r="E810" s="93">
        <v>0</v>
      </c>
      <c r="F810" s="91">
        <v>3</v>
      </c>
      <c r="G810" s="91" t="s">
        <v>74</v>
      </c>
      <c r="H810" s="92">
        <v>17</v>
      </c>
      <c r="I810" s="92">
        <v>1</v>
      </c>
      <c r="J810" s="92">
        <v>0</v>
      </c>
      <c r="K810" s="92">
        <v>7.0541999999999998</v>
      </c>
      <c r="L810" s="92" t="s">
        <v>75</v>
      </c>
      <c r="M810" s="92" t="s">
        <v>76</v>
      </c>
      <c r="N810" s="92" t="s">
        <v>77</v>
      </c>
      <c r="O810" s="92" t="b">
        <v>1</v>
      </c>
      <c r="P810" s="92"/>
      <c r="Q810" s="92" t="s">
        <v>79</v>
      </c>
      <c r="R810" s="92" t="s">
        <v>80</v>
      </c>
      <c r="S810" s="92" t="b">
        <v>0</v>
      </c>
      <c r="T810" s="100">
        <v>1</v>
      </c>
      <c r="U810" s="100">
        <v>7.9540355024002775E+18</v>
      </c>
      <c r="V810" s="100"/>
    </row>
    <row r="811" spans="4:22" ht="15" customHeight="1">
      <c r="D811" s="98" t="b">
        <v>0</v>
      </c>
      <c r="E811" s="93">
        <v>0</v>
      </c>
      <c r="F811" s="91">
        <v>2</v>
      </c>
      <c r="G811" s="91" t="s">
        <v>74</v>
      </c>
      <c r="H811" s="92">
        <v>34</v>
      </c>
      <c r="I811" s="92">
        <v>0</v>
      </c>
      <c r="J811" s="92">
        <v>0</v>
      </c>
      <c r="K811" s="92">
        <v>13</v>
      </c>
      <c r="L811" s="92" t="s">
        <v>75</v>
      </c>
      <c r="M811" s="92" t="s">
        <v>90</v>
      </c>
      <c r="N811" s="92" t="s">
        <v>77</v>
      </c>
      <c r="O811" s="92" t="b">
        <v>1</v>
      </c>
      <c r="P811" s="92"/>
      <c r="Q811" s="92" t="s">
        <v>79</v>
      </c>
      <c r="R811" s="92" t="s">
        <v>80</v>
      </c>
      <c r="S811" s="92" t="b">
        <v>1</v>
      </c>
      <c r="T811" s="100">
        <v>1</v>
      </c>
      <c r="U811" s="100">
        <v>2.3501804308997407E+18</v>
      </c>
      <c r="V811" s="100"/>
    </row>
    <row r="812" spans="4:22" ht="15" customHeight="1">
      <c r="D812" s="98" t="b">
        <v>0</v>
      </c>
      <c r="E812" s="93">
        <v>0</v>
      </c>
      <c r="F812" s="91">
        <v>2</v>
      </c>
      <c r="G812" s="91" t="s">
        <v>74</v>
      </c>
      <c r="H812" s="92">
        <v>50</v>
      </c>
      <c r="I812" s="92">
        <v>0</v>
      </c>
      <c r="J812" s="92">
        <v>0</v>
      </c>
      <c r="K812" s="92">
        <v>13</v>
      </c>
      <c r="L812" s="92" t="s">
        <v>75</v>
      </c>
      <c r="M812" s="92" t="s">
        <v>90</v>
      </c>
      <c r="N812" s="92" t="s">
        <v>77</v>
      </c>
      <c r="O812" s="92" t="b">
        <v>1</v>
      </c>
      <c r="P812" s="92"/>
      <c r="Q812" s="92" t="s">
        <v>79</v>
      </c>
      <c r="R812" s="92" t="s">
        <v>80</v>
      </c>
      <c r="S812" s="92" t="b">
        <v>1</v>
      </c>
      <c r="T812" s="100">
        <v>1</v>
      </c>
      <c r="U812" s="100">
        <v>1.6454540716126644E+19</v>
      </c>
      <c r="V812" s="100"/>
    </row>
    <row r="813" spans="4:22" ht="15" customHeight="1">
      <c r="D813" s="98" t="b">
        <v>0</v>
      </c>
      <c r="E813" s="93">
        <v>1</v>
      </c>
      <c r="F813" s="91">
        <v>1</v>
      </c>
      <c r="G813" s="91" t="s">
        <v>74</v>
      </c>
      <c r="H813" s="92">
        <v>27</v>
      </c>
      <c r="I813" s="92">
        <v>1</v>
      </c>
      <c r="J813" s="92">
        <v>0</v>
      </c>
      <c r="K813" s="92">
        <v>53.1</v>
      </c>
      <c r="L813" s="92" t="s">
        <v>75</v>
      </c>
      <c r="M813" s="92" t="s">
        <v>82</v>
      </c>
      <c r="N813" s="92" t="s">
        <v>77</v>
      </c>
      <c r="O813" s="92" t="b">
        <v>1</v>
      </c>
      <c r="P813" s="92" t="s">
        <v>88</v>
      </c>
      <c r="Q813" s="92" t="s">
        <v>79</v>
      </c>
      <c r="R813" s="92" t="s">
        <v>85</v>
      </c>
      <c r="S813" s="92" t="b">
        <v>0</v>
      </c>
      <c r="T813" s="100">
        <v>0</v>
      </c>
      <c r="U813" s="100">
        <v>2.4418321799699359E+18</v>
      </c>
      <c r="V813" s="100"/>
    </row>
    <row r="814" spans="4:22" ht="15" customHeight="1">
      <c r="D814" s="98" t="b">
        <v>0</v>
      </c>
      <c r="E814" s="93">
        <v>0</v>
      </c>
      <c r="F814" s="91">
        <v>3</v>
      </c>
      <c r="G814" s="91" t="s">
        <v>74</v>
      </c>
      <c r="H814" s="92">
        <v>20</v>
      </c>
      <c r="I814" s="92">
        <v>0</v>
      </c>
      <c r="J814" s="92">
        <v>0</v>
      </c>
      <c r="K814" s="92">
        <v>8.6624999999999996</v>
      </c>
      <c r="L814" s="92" t="s">
        <v>75</v>
      </c>
      <c r="M814" s="92" t="s">
        <v>76</v>
      </c>
      <c r="N814" s="92" t="s">
        <v>77</v>
      </c>
      <c r="O814" s="92" t="b">
        <v>1</v>
      </c>
      <c r="P814" s="92"/>
      <c r="Q814" s="92" t="s">
        <v>79</v>
      </c>
      <c r="R814" s="92" t="s">
        <v>80</v>
      </c>
      <c r="S814" s="92" t="b">
        <v>1</v>
      </c>
      <c r="T814" s="100">
        <v>1</v>
      </c>
      <c r="U814" s="100">
        <v>1.6794523427100152E+19</v>
      </c>
      <c r="V814" s="100"/>
    </row>
    <row r="815" spans="4:22" ht="15" customHeight="1">
      <c r="D815" s="98" t="b">
        <v>0</v>
      </c>
      <c r="E815" s="93">
        <v>1</v>
      </c>
      <c r="F815" s="91">
        <v>2</v>
      </c>
      <c r="G815" s="91" t="s">
        <v>81</v>
      </c>
      <c r="H815" s="92">
        <v>30</v>
      </c>
      <c r="I815" s="92">
        <v>3</v>
      </c>
      <c r="J815" s="92">
        <v>0</v>
      </c>
      <c r="K815" s="92">
        <v>21</v>
      </c>
      <c r="L815" s="92" t="s">
        <v>75</v>
      </c>
      <c r="M815" s="92" t="s">
        <v>90</v>
      </c>
      <c r="N815" s="92" t="s">
        <v>83</v>
      </c>
      <c r="O815" s="92" t="b">
        <v>0</v>
      </c>
      <c r="P815" s="92"/>
      <c r="Q815" s="92" t="s">
        <v>79</v>
      </c>
      <c r="R815" s="92" t="s">
        <v>85</v>
      </c>
      <c r="S815" s="92" t="b">
        <v>0</v>
      </c>
      <c r="T815" s="100">
        <v>1</v>
      </c>
      <c r="U815" s="100">
        <v>2.1712427902564984E+18</v>
      </c>
      <c r="V815" s="100"/>
    </row>
    <row r="816" spans="4:22" ht="15" customHeight="1">
      <c r="D816" s="98" t="b">
        <v>0</v>
      </c>
      <c r="E816" s="93">
        <v>1</v>
      </c>
      <c r="F816" s="91">
        <v>3</v>
      </c>
      <c r="G816" s="91" t="s">
        <v>81</v>
      </c>
      <c r="H816" s="92"/>
      <c r="I816" s="92">
        <v>0</v>
      </c>
      <c r="J816" s="92">
        <v>0</v>
      </c>
      <c r="K816" s="92">
        <v>7.7374999999999998</v>
      </c>
      <c r="L816" s="92" t="s">
        <v>86</v>
      </c>
      <c r="M816" s="92" t="s">
        <v>76</v>
      </c>
      <c r="N816" s="92" t="s">
        <v>83</v>
      </c>
      <c r="O816" s="92" t="b">
        <v>0</v>
      </c>
      <c r="P816" s="92"/>
      <c r="Q816" s="92" t="s">
        <v>87</v>
      </c>
      <c r="R816" s="92" t="s">
        <v>85</v>
      </c>
      <c r="S816" s="92" t="b">
        <v>1</v>
      </c>
      <c r="T816" s="100">
        <v>1</v>
      </c>
      <c r="U816" s="100">
        <v>1.3535211759723907E+19</v>
      </c>
      <c r="V816" s="100"/>
    </row>
    <row r="817" spans="4:22" ht="15" customHeight="1">
      <c r="D817" s="98" t="b">
        <v>0</v>
      </c>
      <c r="E817" s="93">
        <v>0</v>
      </c>
      <c r="F817" s="91">
        <v>2</v>
      </c>
      <c r="G817" s="91" t="s">
        <v>74</v>
      </c>
      <c r="H817" s="92">
        <v>25</v>
      </c>
      <c r="I817" s="92">
        <v>1</v>
      </c>
      <c r="J817" s="92">
        <v>0</v>
      </c>
      <c r="K817" s="92">
        <v>26</v>
      </c>
      <c r="L817" s="92" t="s">
        <v>75</v>
      </c>
      <c r="M817" s="92" t="s">
        <v>90</v>
      </c>
      <c r="N817" s="92" t="s">
        <v>77</v>
      </c>
      <c r="O817" s="92" t="b">
        <v>1</v>
      </c>
      <c r="P817" s="92"/>
      <c r="Q817" s="92" t="s">
        <v>79</v>
      </c>
      <c r="R817" s="92" t="s">
        <v>80</v>
      </c>
      <c r="S817" s="92" t="b">
        <v>0</v>
      </c>
      <c r="T817" s="100">
        <v>1</v>
      </c>
      <c r="U817" s="100">
        <v>5.2497121245489951E+18</v>
      </c>
      <c r="V817" s="100"/>
    </row>
    <row r="818" spans="4:22" ht="15" customHeight="1">
      <c r="D818" s="98" t="b">
        <v>0</v>
      </c>
      <c r="E818" s="93">
        <v>0</v>
      </c>
      <c r="F818" s="91">
        <v>3</v>
      </c>
      <c r="G818" s="91" t="s">
        <v>81</v>
      </c>
      <c r="H818" s="92">
        <v>25</v>
      </c>
      <c r="I818" s="92">
        <v>1</v>
      </c>
      <c r="J818" s="92">
        <v>0</v>
      </c>
      <c r="K818" s="92">
        <v>7.9249999999999998</v>
      </c>
      <c r="L818" s="92" t="s">
        <v>75</v>
      </c>
      <c r="M818" s="92" t="s">
        <v>76</v>
      </c>
      <c r="N818" s="92" t="s">
        <v>83</v>
      </c>
      <c r="O818" s="92" t="b">
        <v>0</v>
      </c>
      <c r="P818" s="92"/>
      <c r="Q818" s="92" t="s">
        <v>79</v>
      </c>
      <c r="R818" s="92" t="s">
        <v>80</v>
      </c>
      <c r="S818" s="92" t="b">
        <v>0</v>
      </c>
      <c r="T818" s="100">
        <v>1</v>
      </c>
      <c r="U818" s="100">
        <v>4.6357004658196716E+18</v>
      </c>
      <c r="V818" s="100"/>
    </row>
    <row r="819" spans="4:22" ht="15" customHeight="1">
      <c r="D819" s="98" t="b">
        <v>0</v>
      </c>
      <c r="E819" s="93">
        <v>1</v>
      </c>
      <c r="F819" s="91">
        <v>1</v>
      </c>
      <c r="G819" s="91" t="s">
        <v>81</v>
      </c>
      <c r="H819" s="92">
        <v>29</v>
      </c>
      <c r="I819" s="92">
        <v>0</v>
      </c>
      <c r="J819" s="92">
        <v>0</v>
      </c>
      <c r="K819" s="92">
        <v>211.33750000000001</v>
      </c>
      <c r="L819" s="92" t="s">
        <v>75</v>
      </c>
      <c r="M819" s="92" t="s">
        <v>82</v>
      </c>
      <c r="N819" s="92" t="s">
        <v>83</v>
      </c>
      <c r="O819" s="92" t="b">
        <v>0</v>
      </c>
      <c r="P819" s="92" t="s">
        <v>94</v>
      </c>
      <c r="Q819" s="92" t="s">
        <v>79</v>
      </c>
      <c r="R819" s="92" t="s">
        <v>85</v>
      </c>
      <c r="S819" s="92" t="b">
        <v>1</v>
      </c>
      <c r="T819" s="100">
        <v>0</v>
      </c>
      <c r="U819" s="100">
        <v>1.8602280983307888E+17</v>
      </c>
      <c r="V819" s="100"/>
    </row>
    <row r="820" spans="4:22" ht="15" customHeight="1">
      <c r="D820" s="98" t="b">
        <v>0</v>
      </c>
      <c r="E820" s="93">
        <v>0</v>
      </c>
      <c r="F820" s="91">
        <v>3</v>
      </c>
      <c r="G820" s="91" t="s">
        <v>74</v>
      </c>
      <c r="H820" s="92">
        <v>11</v>
      </c>
      <c r="I820" s="92">
        <v>0</v>
      </c>
      <c r="J820" s="92">
        <v>0</v>
      </c>
      <c r="K820" s="92">
        <v>18.787500000000001</v>
      </c>
      <c r="L820" s="92" t="s">
        <v>78</v>
      </c>
      <c r="M820" s="92" t="s">
        <v>76</v>
      </c>
      <c r="N820" s="92" t="s">
        <v>89</v>
      </c>
      <c r="O820" s="92" t="b">
        <v>0</v>
      </c>
      <c r="P820" s="92"/>
      <c r="Q820" s="92" t="s">
        <v>84</v>
      </c>
      <c r="R820" s="92" t="s">
        <v>80</v>
      </c>
      <c r="S820" s="92" t="b">
        <v>1</v>
      </c>
      <c r="T820" s="100">
        <v>1</v>
      </c>
      <c r="U820" s="100">
        <v>1.3393149881790089E+19</v>
      </c>
      <c r="V820" s="100"/>
    </row>
    <row r="821" spans="4:22" ht="15" customHeight="1">
      <c r="D821" s="98" t="b">
        <v>0</v>
      </c>
      <c r="E821" s="93">
        <v>0</v>
      </c>
      <c r="F821" s="91">
        <v>2</v>
      </c>
      <c r="G821" s="91" t="s">
        <v>74</v>
      </c>
      <c r="H821" s="92"/>
      <c r="I821" s="92">
        <v>0</v>
      </c>
      <c r="J821" s="92">
        <v>0</v>
      </c>
      <c r="K821" s="92">
        <v>0</v>
      </c>
      <c r="L821" s="92" t="s">
        <v>75</v>
      </c>
      <c r="M821" s="92" t="s">
        <v>90</v>
      </c>
      <c r="N821" s="92" t="s">
        <v>77</v>
      </c>
      <c r="O821" s="92" t="b">
        <v>1</v>
      </c>
      <c r="P821" s="92"/>
      <c r="Q821" s="92" t="s">
        <v>79</v>
      </c>
      <c r="R821" s="92" t="s">
        <v>80</v>
      </c>
      <c r="S821" s="92" t="b">
        <v>1</v>
      </c>
      <c r="T821" s="100">
        <v>1</v>
      </c>
      <c r="U821" s="100">
        <v>6.2556219612342832E+16</v>
      </c>
      <c r="V821" s="100"/>
    </row>
    <row r="822" spans="4:22" ht="15" customHeight="1">
      <c r="D822" s="98" t="b">
        <v>0</v>
      </c>
      <c r="E822" s="93">
        <v>0</v>
      </c>
      <c r="F822" s="91">
        <v>2</v>
      </c>
      <c r="G822" s="91" t="s">
        <v>74</v>
      </c>
      <c r="H822" s="92">
        <v>23</v>
      </c>
      <c r="I822" s="92">
        <v>0</v>
      </c>
      <c r="J822" s="92">
        <v>0</v>
      </c>
      <c r="K822" s="92">
        <v>13</v>
      </c>
      <c r="L822" s="92" t="s">
        <v>75</v>
      </c>
      <c r="M822" s="92" t="s">
        <v>90</v>
      </c>
      <c r="N822" s="92" t="s">
        <v>77</v>
      </c>
      <c r="O822" s="92" t="b">
        <v>1</v>
      </c>
      <c r="P822" s="92"/>
      <c r="Q822" s="92" t="s">
        <v>79</v>
      </c>
      <c r="R822" s="92" t="s">
        <v>80</v>
      </c>
      <c r="S822" s="92" t="b">
        <v>1</v>
      </c>
      <c r="T822" s="100">
        <v>1</v>
      </c>
      <c r="U822" s="100">
        <v>1.3896309675162161E+19</v>
      </c>
      <c r="V822" s="100"/>
    </row>
    <row r="823" spans="4:22" ht="15" customHeight="1">
      <c r="D823" s="98" t="b">
        <v>0</v>
      </c>
      <c r="E823" s="93">
        <v>0</v>
      </c>
      <c r="F823" s="91">
        <v>2</v>
      </c>
      <c r="G823" s="91" t="s">
        <v>74</v>
      </c>
      <c r="H823" s="92">
        <v>23</v>
      </c>
      <c r="I823" s="92">
        <v>0</v>
      </c>
      <c r="J823" s="92">
        <v>0</v>
      </c>
      <c r="K823" s="92">
        <v>13</v>
      </c>
      <c r="L823" s="92" t="s">
        <v>75</v>
      </c>
      <c r="M823" s="92" t="s">
        <v>90</v>
      </c>
      <c r="N823" s="92" t="s">
        <v>77</v>
      </c>
      <c r="O823" s="92" t="b">
        <v>1</v>
      </c>
      <c r="P823" s="92"/>
      <c r="Q823" s="92" t="s">
        <v>79</v>
      </c>
      <c r="R823" s="92" t="s">
        <v>80</v>
      </c>
      <c r="S823" s="92" t="b">
        <v>1</v>
      </c>
      <c r="T823" s="100">
        <v>1</v>
      </c>
      <c r="U823" s="100">
        <v>1.3896309675162161E+19</v>
      </c>
      <c r="V823" s="100"/>
    </row>
    <row r="824" spans="4:22" ht="15" customHeight="1">
      <c r="D824" s="98" t="b">
        <v>0</v>
      </c>
      <c r="E824" s="93">
        <v>0</v>
      </c>
      <c r="F824" s="91">
        <v>3</v>
      </c>
      <c r="G824" s="91" t="s">
        <v>81</v>
      </c>
      <c r="H824" s="92">
        <v>48</v>
      </c>
      <c r="I824" s="92">
        <v>1</v>
      </c>
      <c r="J824" s="92">
        <v>3</v>
      </c>
      <c r="K824" s="92">
        <v>34.375</v>
      </c>
      <c r="L824" s="92" t="s">
        <v>75</v>
      </c>
      <c r="M824" s="92" t="s">
        <v>76</v>
      </c>
      <c r="N824" s="92" t="s">
        <v>83</v>
      </c>
      <c r="O824" s="92" t="b">
        <v>0</v>
      </c>
      <c r="P824" s="92"/>
      <c r="Q824" s="92" t="s">
        <v>79</v>
      </c>
      <c r="R824" s="92" t="s">
        <v>80</v>
      </c>
      <c r="S824" s="92" t="b">
        <v>0</v>
      </c>
      <c r="T824" s="100">
        <v>1</v>
      </c>
      <c r="U824" s="100">
        <v>5.801237783452756E+18</v>
      </c>
      <c r="V824" s="100"/>
    </row>
    <row r="825" spans="4:22" ht="15" customHeight="1">
      <c r="D825" s="98" t="b">
        <v>0</v>
      </c>
      <c r="E825" s="93">
        <v>1</v>
      </c>
      <c r="F825" s="91">
        <v>1</v>
      </c>
      <c r="G825" s="91" t="s">
        <v>74</v>
      </c>
      <c r="H825" s="92">
        <v>35</v>
      </c>
      <c r="I825" s="92">
        <v>0</v>
      </c>
      <c r="J825" s="92">
        <v>0</v>
      </c>
      <c r="K825" s="92">
        <v>512.32920000000001</v>
      </c>
      <c r="L825" s="92" t="s">
        <v>78</v>
      </c>
      <c r="M825" s="92" t="s">
        <v>82</v>
      </c>
      <c r="N825" s="92" t="s">
        <v>77</v>
      </c>
      <c r="O825" s="92" t="b">
        <v>1</v>
      </c>
      <c r="P825" s="92" t="s">
        <v>94</v>
      </c>
      <c r="Q825" s="92" t="s">
        <v>84</v>
      </c>
      <c r="R825" s="92" t="s">
        <v>85</v>
      </c>
      <c r="S825" s="92" t="b">
        <v>1</v>
      </c>
      <c r="T825" s="100">
        <v>0</v>
      </c>
      <c r="U825" s="100">
        <v>1.2498597088995267E+19</v>
      </c>
      <c r="V825" s="100"/>
    </row>
    <row r="826" spans="4:22" ht="15" customHeight="1">
      <c r="D826" s="98" t="b">
        <v>0</v>
      </c>
      <c r="E826" s="93">
        <v>0</v>
      </c>
      <c r="F826" s="91">
        <v>3</v>
      </c>
      <c r="G826" s="91" t="s">
        <v>74</v>
      </c>
      <c r="H826" s="92"/>
      <c r="I826" s="92">
        <v>0</v>
      </c>
      <c r="J826" s="92">
        <v>0</v>
      </c>
      <c r="K826" s="92">
        <v>7.8958000000000004</v>
      </c>
      <c r="L826" s="92" t="s">
        <v>75</v>
      </c>
      <c r="M826" s="92" t="s">
        <v>76</v>
      </c>
      <c r="N826" s="92" t="s">
        <v>77</v>
      </c>
      <c r="O826" s="92" t="b">
        <v>1</v>
      </c>
      <c r="P826" s="92"/>
      <c r="Q826" s="92" t="s">
        <v>79</v>
      </c>
      <c r="R826" s="92" t="s">
        <v>80</v>
      </c>
      <c r="S826" s="92" t="b">
        <v>1</v>
      </c>
      <c r="T826" s="100">
        <v>1</v>
      </c>
      <c r="U826" s="100">
        <v>9.9740171854948762E+18</v>
      </c>
      <c r="V826" s="100"/>
    </row>
    <row r="827" spans="4:22" ht="15" customHeight="1">
      <c r="D827" s="98" t="b">
        <v>0</v>
      </c>
      <c r="E827" s="93">
        <v>0</v>
      </c>
      <c r="F827" s="91">
        <v>3</v>
      </c>
      <c r="G827" s="91" t="s">
        <v>74</v>
      </c>
      <c r="H827" s="92"/>
      <c r="I827" s="92">
        <v>0</v>
      </c>
      <c r="J827" s="92">
        <v>0</v>
      </c>
      <c r="K827" s="92">
        <v>7.8958000000000004</v>
      </c>
      <c r="L827" s="92" t="s">
        <v>75</v>
      </c>
      <c r="M827" s="92" t="s">
        <v>76</v>
      </c>
      <c r="N827" s="92" t="s">
        <v>77</v>
      </c>
      <c r="O827" s="92" t="b">
        <v>1</v>
      </c>
      <c r="P827" s="92"/>
      <c r="Q827" s="92" t="s">
        <v>79</v>
      </c>
      <c r="R827" s="92" t="s">
        <v>80</v>
      </c>
      <c r="S827" s="92" t="b">
        <v>1</v>
      </c>
      <c r="T827" s="100">
        <v>1</v>
      </c>
      <c r="U827" s="100">
        <v>9.9740171854948762E+18</v>
      </c>
      <c r="V827" s="100"/>
    </row>
    <row r="828" spans="4:22" ht="15" customHeight="1">
      <c r="D828" s="98" t="b">
        <v>0</v>
      </c>
      <c r="E828" s="93">
        <v>1</v>
      </c>
      <c r="F828" s="91">
        <v>1</v>
      </c>
      <c r="G828" s="91" t="s">
        <v>74</v>
      </c>
      <c r="H828" s="92"/>
      <c r="I828" s="92">
        <v>0</v>
      </c>
      <c r="J828" s="92">
        <v>0</v>
      </c>
      <c r="K828" s="92">
        <v>30</v>
      </c>
      <c r="L828" s="92" t="s">
        <v>75</v>
      </c>
      <c r="M828" s="92" t="s">
        <v>82</v>
      </c>
      <c r="N828" s="92" t="s">
        <v>77</v>
      </c>
      <c r="O828" s="92" t="b">
        <v>1</v>
      </c>
      <c r="P828" s="92" t="s">
        <v>92</v>
      </c>
      <c r="Q828" s="92" t="s">
        <v>79</v>
      </c>
      <c r="R828" s="92" t="s">
        <v>85</v>
      </c>
      <c r="S828" s="92" t="b">
        <v>1</v>
      </c>
      <c r="T828" s="100">
        <v>1</v>
      </c>
      <c r="U828" s="100">
        <v>8.1855259556449856E+17</v>
      </c>
      <c r="V828" s="100"/>
    </row>
    <row r="829" spans="4:22" ht="15" customHeight="1">
      <c r="D829" s="98" t="b">
        <v>0</v>
      </c>
      <c r="E829" s="93">
        <v>0</v>
      </c>
      <c r="F829" s="91">
        <v>1</v>
      </c>
      <c r="G829" s="91" t="s">
        <v>74</v>
      </c>
      <c r="H829" s="92">
        <v>36</v>
      </c>
      <c r="I829" s="92">
        <v>1</v>
      </c>
      <c r="J829" s="92">
        <v>0</v>
      </c>
      <c r="K829" s="92">
        <v>78.849999999999994</v>
      </c>
      <c r="L829" s="92" t="s">
        <v>75</v>
      </c>
      <c r="M829" s="92" t="s">
        <v>82</v>
      </c>
      <c r="N829" s="92" t="s">
        <v>77</v>
      </c>
      <c r="O829" s="92" t="b">
        <v>1</v>
      </c>
      <c r="P829" s="92" t="s">
        <v>78</v>
      </c>
      <c r="Q829" s="92" t="s">
        <v>79</v>
      </c>
      <c r="R829" s="92" t="s">
        <v>80</v>
      </c>
      <c r="S829" s="92" t="b">
        <v>0</v>
      </c>
      <c r="T829" s="100">
        <v>0</v>
      </c>
      <c r="U829" s="100">
        <v>1.8003031466029036E+19</v>
      </c>
      <c r="V829" s="100"/>
    </row>
    <row r="830" spans="4:22" ht="15" customHeight="1">
      <c r="D830" s="98" t="b">
        <v>0</v>
      </c>
      <c r="E830" s="93">
        <v>1</v>
      </c>
      <c r="F830" s="91">
        <v>1</v>
      </c>
      <c r="G830" s="91" t="s">
        <v>81</v>
      </c>
      <c r="H830" s="92">
        <v>21</v>
      </c>
      <c r="I830" s="92">
        <v>2</v>
      </c>
      <c r="J830" s="92">
        <v>2</v>
      </c>
      <c r="K830" s="92">
        <v>262.375</v>
      </c>
      <c r="L830" s="92" t="s">
        <v>78</v>
      </c>
      <c r="M830" s="92" t="s">
        <v>82</v>
      </c>
      <c r="N830" s="92" t="s">
        <v>83</v>
      </c>
      <c r="O830" s="92" t="b">
        <v>0</v>
      </c>
      <c r="P830" s="92" t="s">
        <v>94</v>
      </c>
      <c r="Q830" s="92" t="s">
        <v>84</v>
      </c>
      <c r="R830" s="92" t="s">
        <v>85</v>
      </c>
      <c r="S830" s="92" t="b">
        <v>0</v>
      </c>
      <c r="T830" s="100">
        <v>0</v>
      </c>
      <c r="U830" s="100">
        <v>1.2162871078552793E+19</v>
      </c>
      <c r="V830" s="100"/>
    </row>
    <row r="831" spans="4:22" ht="15" customHeight="1">
      <c r="D831" s="98" t="b">
        <v>0</v>
      </c>
      <c r="E831" s="93">
        <v>0</v>
      </c>
      <c r="F831" s="91">
        <v>3</v>
      </c>
      <c r="G831" s="91" t="s">
        <v>74</v>
      </c>
      <c r="H831" s="92">
        <v>24</v>
      </c>
      <c r="I831" s="92">
        <v>1</v>
      </c>
      <c r="J831" s="92">
        <v>0</v>
      </c>
      <c r="K831" s="92">
        <v>16.100000000000001</v>
      </c>
      <c r="L831" s="92" t="s">
        <v>75</v>
      </c>
      <c r="M831" s="92" t="s">
        <v>76</v>
      </c>
      <c r="N831" s="92" t="s">
        <v>77</v>
      </c>
      <c r="O831" s="92" t="b">
        <v>1</v>
      </c>
      <c r="P831" s="92"/>
      <c r="Q831" s="92" t="s">
        <v>79</v>
      </c>
      <c r="R831" s="92" t="s">
        <v>80</v>
      </c>
      <c r="S831" s="92" t="b">
        <v>0</v>
      </c>
      <c r="T831" s="100">
        <v>1</v>
      </c>
      <c r="U831" s="100">
        <v>2.0428491265415368E+18</v>
      </c>
      <c r="V831" s="100"/>
    </row>
    <row r="832" spans="4:22" ht="15" customHeight="1">
      <c r="D832" s="98" t="b">
        <v>0</v>
      </c>
      <c r="E832" s="93">
        <v>1</v>
      </c>
      <c r="F832" s="91">
        <v>3</v>
      </c>
      <c r="G832" s="91" t="s">
        <v>74</v>
      </c>
      <c r="H832" s="92">
        <v>31</v>
      </c>
      <c r="I832" s="92">
        <v>0</v>
      </c>
      <c r="J832" s="92">
        <v>0</v>
      </c>
      <c r="K832" s="92">
        <v>7.9249999999999998</v>
      </c>
      <c r="L832" s="92" t="s">
        <v>75</v>
      </c>
      <c r="M832" s="92" t="s">
        <v>76</v>
      </c>
      <c r="N832" s="92" t="s">
        <v>77</v>
      </c>
      <c r="O832" s="92" t="b">
        <v>1</v>
      </c>
      <c r="P832" s="92"/>
      <c r="Q832" s="92" t="s">
        <v>79</v>
      </c>
      <c r="R832" s="92" t="s">
        <v>85</v>
      </c>
      <c r="S832" s="92" t="b">
        <v>1</v>
      </c>
      <c r="T832" s="100">
        <v>1</v>
      </c>
      <c r="U832" s="100">
        <v>1.3930527720986968E+19</v>
      </c>
      <c r="V832" s="100"/>
    </row>
    <row r="833" spans="4:22" ht="15" customHeight="1">
      <c r="D833" s="98" t="b">
        <v>0</v>
      </c>
      <c r="E833" s="93">
        <v>0</v>
      </c>
      <c r="F833" s="91">
        <v>1</v>
      </c>
      <c r="G833" s="91" t="s">
        <v>74</v>
      </c>
      <c r="H833" s="92">
        <v>70</v>
      </c>
      <c r="I833" s="92">
        <v>1</v>
      </c>
      <c r="J833" s="92">
        <v>1</v>
      </c>
      <c r="K833" s="92">
        <v>71</v>
      </c>
      <c r="L833" s="92" t="s">
        <v>75</v>
      </c>
      <c r="M833" s="92" t="s">
        <v>82</v>
      </c>
      <c r="N833" s="92" t="s">
        <v>77</v>
      </c>
      <c r="O833" s="92" t="b">
        <v>1</v>
      </c>
      <c r="P833" s="92" t="s">
        <v>94</v>
      </c>
      <c r="Q833" s="92" t="s">
        <v>79</v>
      </c>
      <c r="R833" s="92" t="s">
        <v>80</v>
      </c>
      <c r="S833" s="92" t="b">
        <v>0</v>
      </c>
      <c r="T833" s="100">
        <v>0</v>
      </c>
      <c r="U833" s="100">
        <v>8.8623810697454551E+18</v>
      </c>
      <c r="V833" s="100"/>
    </row>
    <row r="834" spans="4:22" ht="15" customHeight="1">
      <c r="D834" s="98" t="b">
        <v>0</v>
      </c>
      <c r="E834" s="93">
        <v>0</v>
      </c>
      <c r="F834" s="91">
        <v>3</v>
      </c>
      <c r="G834" s="91" t="s">
        <v>74</v>
      </c>
      <c r="H834" s="92">
        <v>16</v>
      </c>
      <c r="I834" s="92">
        <v>1</v>
      </c>
      <c r="J834" s="92">
        <v>1</v>
      </c>
      <c r="K834" s="92">
        <v>20.25</v>
      </c>
      <c r="L834" s="92" t="s">
        <v>75</v>
      </c>
      <c r="M834" s="92" t="s">
        <v>76</v>
      </c>
      <c r="N834" s="92" t="s">
        <v>77</v>
      </c>
      <c r="O834" s="92" t="b">
        <v>1</v>
      </c>
      <c r="P834" s="92"/>
      <c r="Q834" s="92" t="s">
        <v>79</v>
      </c>
      <c r="R834" s="92" t="s">
        <v>80</v>
      </c>
      <c r="S834" s="92" t="b">
        <v>0</v>
      </c>
      <c r="T834" s="100">
        <v>1</v>
      </c>
      <c r="U834" s="100">
        <v>1.0122557960890051E+19</v>
      </c>
      <c r="V834" s="100"/>
    </row>
    <row r="835" spans="4:22" ht="15" customHeight="1">
      <c r="D835" s="98" t="b">
        <v>0</v>
      </c>
      <c r="E835" s="93">
        <v>1</v>
      </c>
      <c r="F835" s="91">
        <v>2</v>
      </c>
      <c r="G835" s="91" t="s">
        <v>81</v>
      </c>
      <c r="H835" s="92">
        <v>30</v>
      </c>
      <c r="I835" s="92">
        <v>0</v>
      </c>
      <c r="J835" s="92">
        <v>0</v>
      </c>
      <c r="K835" s="92">
        <v>13</v>
      </c>
      <c r="L835" s="92" t="s">
        <v>75</v>
      </c>
      <c r="M835" s="92" t="s">
        <v>90</v>
      </c>
      <c r="N835" s="92" t="s">
        <v>83</v>
      </c>
      <c r="O835" s="92" t="b">
        <v>0</v>
      </c>
      <c r="P835" s="92"/>
      <c r="Q835" s="92" t="s">
        <v>79</v>
      </c>
      <c r="R835" s="92" t="s">
        <v>85</v>
      </c>
      <c r="S835" s="92" t="b">
        <v>1</v>
      </c>
      <c r="T835" s="100">
        <v>1</v>
      </c>
      <c r="U835" s="100">
        <v>1.7090853807908186E+19</v>
      </c>
      <c r="V835" s="100"/>
    </row>
    <row r="836" spans="4:22" ht="15" customHeight="1">
      <c r="D836" s="98" t="b">
        <v>0</v>
      </c>
      <c r="E836" s="93">
        <v>0</v>
      </c>
      <c r="F836" s="91">
        <v>1</v>
      </c>
      <c r="G836" s="91" t="s">
        <v>74</v>
      </c>
      <c r="H836" s="92">
        <v>19</v>
      </c>
      <c r="I836" s="92">
        <v>1</v>
      </c>
      <c r="J836" s="92">
        <v>0</v>
      </c>
      <c r="K836" s="92">
        <v>53.1</v>
      </c>
      <c r="L836" s="92" t="s">
        <v>75</v>
      </c>
      <c r="M836" s="92" t="s">
        <v>82</v>
      </c>
      <c r="N836" s="92" t="s">
        <v>77</v>
      </c>
      <c r="O836" s="92" t="b">
        <v>1</v>
      </c>
      <c r="P836" s="92" t="s">
        <v>92</v>
      </c>
      <c r="Q836" s="92" t="s">
        <v>79</v>
      </c>
      <c r="R836" s="92" t="s">
        <v>80</v>
      </c>
      <c r="S836" s="92" t="b">
        <v>0</v>
      </c>
      <c r="T836" s="100">
        <v>0</v>
      </c>
      <c r="U836" s="100">
        <v>1.4400914159081019E+18</v>
      </c>
      <c r="V836" s="100"/>
    </row>
    <row r="837" spans="4:22" ht="15" customHeight="1">
      <c r="D837" s="98" t="b">
        <v>0</v>
      </c>
      <c r="E837" s="93">
        <v>0</v>
      </c>
      <c r="F837" s="91">
        <v>3</v>
      </c>
      <c r="G837" s="91" t="s">
        <v>74</v>
      </c>
      <c r="H837" s="92">
        <v>31</v>
      </c>
      <c r="I837" s="92">
        <v>0</v>
      </c>
      <c r="J837" s="92">
        <v>0</v>
      </c>
      <c r="K837" s="92">
        <v>7.75</v>
      </c>
      <c r="L837" s="92" t="s">
        <v>86</v>
      </c>
      <c r="M837" s="92" t="s">
        <v>76</v>
      </c>
      <c r="N837" s="92" t="s">
        <v>77</v>
      </c>
      <c r="O837" s="92" t="b">
        <v>1</v>
      </c>
      <c r="P837" s="92"/>
      <c r="Q837" s="92" t="s">
        <v>87</v>
      </c>
      <c r="R837" s="92" t="s">
        <v>80</v>
      </c>
      <c r="S837" s="92" t="b">
        <v>1</v>
      </c>
      <c r="T837" s="100">
        <v>1</v>
      </c>
      <c r="U837" s="100">
        <v>1.0246643127823722E+19</v>
      </c>
      <c r="V837" s="100"/>
    </row>
    <row r="838" spans="4:22" ht="15" customHeight="1">
      <c r="D838" s="98" t="b">
        <v>0</v>
      </c>
      <c r="E838" s="93">
        <v>1</v>
      </c>
      <c r="F838" s="91">
        <v>2</v>
      </c>
      <c r="G838" s="91" t="s">
        <v>81</v>
      </c>
      <c r="H838" s="92">
        <v>4</v>
      </c>
      <c r="I838" s="92">
        <v>1</v>
      </c>
      <c r="J838" s="92">
        <v>1</v>
      </c>
      <c r="K838" s="92">
        <v>23</v>
      </c>
      <c r="L838" s="92" t="s">
        <v>75</v>
      </c>
      <c r="M838" s="92" t="s">
        <v>90</v>
      </c>
      <c r="N838" s="92" t="s">
        <v>89</v>
      </c>
      <c r="O838" s="92" t="b">
        <v>0</v>
      </c>
      <c r="P838" s="92"/>
      <c r="Q838" s="92" t="s">
        <v>79</v>
      </c>
      <c r="R838" s="92" t="s">
        <v>85</v>
      </c>
      <c r="S838" s="92" t="b">
        <v>0</v>
      </c>
      <c r="T838" s="100">
        <v>1</v>
      </c>
      <c r="U838" s="100">
        <v>9.5810702124901158E+17</v>
      </c>
      <c r="V838" s="100"/>
    </row>
    <row r="839" spans="4:22" ht="15" customHeight="1">
      <c r="D839" s="98" t="b">
        <v>0</v>
      </c>
      <c r="E839" s="93">
        <v>1</v>
      </c>
      <c r="F839" s="91">
        <v>3</v>
      </c>
      <c r="G839" s="91" t="s">
        <v>74</v>
      </c>
      <c r="H839" s="92">
        <v>6</v>
      </c>
      <c r="I839" s="92">
        <v>0</v>
      </c>
      <c r="J839" s="92">
        <v>1</v>
      </c>
      <c r="K839" s="92">
        <v>12.475</v>
      </c>
      <c r="L839" s="92" t="s">
        <v>75</v>
      </c>
      <c r="M839" s="92" t="s">
        <v>76</v>
      </c>
      <c r="N839" s="92" t="s">
        <v>89</v>
      </c>
      <c r="O839" s="92" t="b">
        <v>0</v>
      </c>
      <c r="P839" s="92" t="s">
        <v>88</v>
      </c>
      <c r="Q839" s="92" t="s">
        <v>79</v>
      </c>
      <c r="R839" s="92" t="s">
        <v>85</v>
      </c>
      <c r="S839" s="92" t="b">
        <v>0</v>
      </c>
      <c r="T839" s="100">
        <v>0</v>
      </c>
      <c r="U839" s="100">
        <v>5.5672569896356188E+18</v>
      </c>
      <c r="V839" s="100"/>
    </row>
    <row r="840" spans="4:22" ht="15" customHeight="1">
      <c r="D840" s="98" t="b">
        <v>0</v>
      </c>
      <c r="E840" s="93">
        <v>0</v>
      </c>
      <c r="F840" s="91">
        <v>3</v>
      </c>
      <c r="G840" s="91" t="s">
        <v>74</v>
      </c>
      <c r="H840" s="92">
        <v>33</v>
      </c>
      <c r="I840" s="92">
        <v>0</v>
      </c>
      <c r="J840" s="92">
        <v>0</v>
      </c>
      <c r="K840" s="92">
        <v>9.5</v>
      </c>
      <c r="L840" s="92" t="s">
        <v>75</v>
      </c>
      <c r="M840" s="92" t="s">
        <v>76</v>
      </c>
      <c r="N840" s="92" t="s">
        <v>77</v>
      </c>
      <c r="O840" s="92" t="b">
        <v>1</v>
      </c>
      <c r="P840" s="92"/>
      <c r="Q840" s="92" t="s">
        <v>79</v>
      </c>
      <c r="R840" s="92" t="s">
        <v>80</v>
      </c>
      <c r="S840" s="92" t="b">
        <v>1</v>
      </c>
      <c r="T840" s="100">
        <v>1</v>
      </c>
      <c r="U840" s="100">
        <v>5.4803761475456942E+18</v>
      </c>
      <c r="V840" s="100"/>
    </row>
    <row r="841" spans="4:22" ht="15" customHeight="1">
      <c r="D841" s="98" t="b">
        <v>0</v>
      </c>
      <c r="E841" s="93">
        <v>0</v>
      </c>
      <c r="F841" s="91">
        <v>3</v>
      </c>
      <c r="G841" s="91" t="s">
        <v>74</v>
      </c>
      <c r="H841" s="92">
        <v>23</v>
      </c>
      <c r="I841" s="92">
        <v>0</v>
      </c>
      <c r="J841" s="92">
        <v>0</v>
      </c>
      <c r="K841" s="92">
        <v>7.8958000000000004</v>
      </c>
      <c r="L841" s="92" t="s">
        <v>75</v>
      </c>
      <c r="M841" s="92" t="s">
        <v>76</v>
      </c>
      <c r="N841" s="92" t="s">
        <v>77</v>
      </c>
      <c r="O841" s="92" t="b">
        <v>1</v>
      </c>
      <c r="P841" s="92"/>
      <c r="Q841" s="92" t="s">
        <v>79</v>
      </c>
      <c r="R841" s="92" t="s">
        <v>80</v>
      </c>
      <c r="S841" s="92" t="b">
        <v>1</v>
      </c>
      <c r="T841" s="100">
        <v>1</v>
      </c>
      <c r="U841" s="100">
        <v>8.0879914512980716E+18</v>
      </c>
      <c r="V841" s="100"/>
    </row>
    <row r="842" spans="4:22" ht="15" customHeight="1">
      <c r="D842" s="98" t="b">
        <v>0</v>
      </c>
      <c r="E842" s="93">
        <v>1</v>
      </c>
      <c r="F842" s="91">
        <v>2</v>
      </c>
      <c r="G842" s="91" t="s">
        <v>81</v>
      </c>
      <c r="H842" s="92">
        <v>48</v>
      </c>
      <c r="I842" s="92">
        <v>1</v>
      </c>
      <c r="J842" s="92">
        <v>2</v>
      </c>
      <c r="K842" s="92">
        <v>65</v>
      </c>
      <c r="L842" s="92" t="s">
        <v>75</v>
      </c>
      <c r="M842" s="92" t="s">
        <v>90</v>
      </c>
      <c r="N842" s="92" t="s">
        <v>83</v>
      </c>
      <c r="O842" s="92" t="b">
        <v>0</v>
      </c>
      <c r="P842" s="92"/>
      <c r="Q842" s="92" t="s">
        <v>79</v>
      </c>
      <c r="R842" s="92" t="s">
        <v>85</v>
      </c>
      <c r="S842" s="92" t="b">
        <v>0</v>
      </c>
      <c r="T842" s="100">
        <v>1</v>
      </c>
      <c r="U842" s="100">
        <v>1.3857219267966333E+19</v>
      </c>
      <c r="V842" s="100"/>
    </row>
    <row r="843" spans="4:22" ht="15" customHeight="1">
      <c r="D843" s="98" t="b">
        <v>0</v>
      </c>
      <c r="E843" s="93">
        <v>0</v>
      </c>
      <c r="F843" s="91">
        <v>3</v>
      </c>
      <c r="G843" s="91" t="s">
        <v>74</v>
      </c>
      <c r="H843" s="92">
        <v>28</v>
      </c>
      <c r="I843" s="92">
        <v>0</v>
      </c>
      <c r="J843" s="92">
        <v>0</v>
      </c>
      <c r="K843" s="92">
        <v>7.7957999999999998</v>
      </c>
      <c r="L843" s="92" t="s">
        <v>75</v>
      </c>
      <c r="M843" s="92" t="s">
        <v>76</v>
      </c>
      <c r="N843" s="92" t="s">
        <v>77</v>
      </c>
      <c r="O843" s="92" t="b">
        <v>1</v>
      </c>
      <c r="P843" s="92"/>
      <c r="Q843" s="92" t="s">
        <v>79</v>
      </c>
      <c r="R843" s="92" t="s">
        <v>80</v>
      </c>
      <c r="S843" s="92" t="b">
        <v>1</v>
      </c>
      <c r="T843" s="100">
        <v>1</v>
      </c>
      <c r="U843" s="100">
        <v>1.7306328791120697E+19</v>
      </c>
      <c r="V843" s="100"/>
    </row>
    <row r="844" spans="4:22" ht="15" customHeight="1">
      <c r="D844" s="98" t="b">
        <v>0</v>
      </c>
      <c r="E844" s="93">
        <v>0</v>
      </c>
      <c r="F844" s="91">
        <v>2</v>
      </c>
      <c r="G844" s="91" t="s">
        <v>74</v>
      </c>
      <c r="H844" s="92">
        <v>18</v>
      </c>
      <c r="I844" s="92">
        <v>0</v>
      </c>
      <c r="J844" s="92">
        <v>0</v>
      </c>
      <c r="K844" s="92">
        <v>11.5</v>
      </c>
      <c r="L844" s="92" t="s">
        <v>75</v>
      </c>
      <c r="M844" s="92" t="s">
        <v>90</v>
      </c>
      <c r="N844" s="92" t="s">
        <v>77</v>
      </c>
      <c r="O844" s="92" t="b">
        <v>1</v>
      </c>
      <c r="P844" s="92"/>
      <c r="Q844" s="92" t="s">
        <v>79</v>
      </c>
      <c r="R844" s="92" t="s">
        <v>80</v>
      </c>
      <c r="S844" s="92" t="b">
        <v>1</v>
      </c>
      <c r="T844" s="100">
        <v>1</v>
      </c>
      <c r="U844" s="100">
        <v>6.9152135218229719E+18</v>
      </c>
      <c r="V844" s="100"/>
    </row>
    <row r="845" spans="4:22" ht="15" customHeight="1">
      <c r="D845" s="98" t="b">
        <v>0</v>
      </c>
      <c r="E845" s="93">
        <v>0</v>
      </c>
      <c r="F845" s="91">
        <v>3</v>
      </c>
      <c r="G845" s="91" t="s">
        <v>74</v>
      </c>
      <c r="H845" s="92">
        <v>34</v>
      </c>
      <c r="I845" s="92">
        <v>0</v>
      </c>
      <c r="J845" s="92">
        <v>0</v>
      </c>
      <c r="K845" s="92">
        <v>8.0500000000000007</v>
      </c>
      <c r="L845" s="92" t="s">
        <v>75</v>
      </c>
      <c r="M845" s="92" t="s">
        <v>76</v>
      </c>
      <c r="N845" s="92" t="s">
        <v>77</v>
      </c>
      <c r="O845" s="92" t="b">
        <v>1</v>
      </c>
      <c r="P845" s="92"/>
      <c r="Q845" s="92" t="s">
        <v>79</v>
      </c>
      <c r="R845" s="92" t="s">
        <v>80</v>
      </c>
      <c r="S845" s="92" t="b">
        <v>1</v>
      </c>
      <c r="T845" s="100">
        <v>1</v>
      </c>
      <c r="U845" s="100">
        <v>4.6771892198360608E+17</v>
      </c>
      <c r="V845" s="100"/>
    </row>
    <row r="846" spans="4:22" ht="15" customHeight="1">
      <c r="D846" s="98" t="b">
        <v>0</v>
      </c>
      <c r="E846" s="93">
        <v>1</v>
      </c>
      <c r="F846" s="91">
        <v>1</v>
      </c>
      <c r="G846" s="91" t="s">
        <v>81</v>
      </c>
      <c r="H846" s="92">
        <v>33</v>
      </c>
      <c r="I846" s="92">
        <v>0</v>
      </c>
      <c r="J846" s="92">
        <v>0</v>
      </c>
      <c r="K846" s="92">
        <v>86.5</v>
      </c>
      <c r="L846" s="92" t="s">
        <v>75</v>
      </c>
      <c r="M846" s="92" t="s">
        <v>82</v>
      </c>
      <c r="N846" s="92" t="s">
        <v>83</v>
      </c>
      <c r="O846" s="92" t="b">
        <v>0</v>
      </c>
      <c r="P846" s="92" t="s">
        <v>94</v>
      </c>
      <c r="Q846" s="92" t="s">
        <v>79</v>
      </c>
      <c r="R846" s="92" t="s">
        <v>85</v>
      </c>
      <c r="S846" s="92" t="b">
        <v>1</v>
      </c>
      <c r="T846" s="100">
        <v>0</v>
      </c>
      <c r="U846" s="100">
        <v>9.357433894675202E+18</v>
      </c>
      <c r="V846" s="100"/>
    </row>
    <row r="847" spans="4:22" ht="15" customHeight="1">
      <c r="D847" s="98" t="b">
        <v>0</v>
      </c>
      <c r="E847" s="93">
        <v>0</v>
      </c>
      <c r="F847" s="91">
        <v>3</v>
      </c>
      <c r="G847" s="91" t="s">
        <v>74</v>
      </c>
      <c r="H847" s="92"/>
      <c r="I847" s="92">
        <v>0</v>
      </c>
      <c r="J847" s="92">
        <v>0</v>
      </c>
      <c r="K847" s="92">
        <v>14.5</v>
      </c>
      <c r="L847" s="92" t="s">
        <v>75</v>
      </c>
      <c r="M847" s="92" t="s">
        <v>76</v>
      </c>
      <c r="N847" s="92" t="s">
        <v>77</v>
      </c>
      <c r="O847" s="92" t="b">
        <v>1</v>
      </c>
      <c r="P847" s="92"/>
      <c r="Q847" s="92" t="s">
        <v>79</v>
      </c>
      <c r="R847" s="92" t="s">
        <v>80</v>
      </c>
      <c r="S847" s="92" t="b">
        <v>1</v>
      </c>
      <c r="T847" s="100">
        <v>1</v>
      </c>
      <c r="U847" s="100">
        <v>5.8140604420293396E+18</v>
      </c>
      <c r="V847" s="100"/>
    </row>
    <row r="848" spans="4:22" ht="15" customHeight="1">
      <c r="D848" s="98" t="b">
        <v>0</v>
      </c>
      <c r="E848" s="93">
        <v>0</v>
      </c>
      <c r="F848" s="91">
        <v>3</v>
      </c>
      <c r="G848" s="91" t="s">
        <v>74</v>
      </c>
      <c r="H848" s="92">
        <v>41</v>
      </c>
      <c r="I848" s="92">
        <v>0</v>
      </c>
      <c r="J848" s="92">
        <v>0</v>
      </c>
      <c r="K848" s="92">
        <v>7.125</v>
      </c>
      <c r="L848" s="92" t="s">
        <v>75</v>
      </c>
      <c r="M848" s="92" t="s">
        <v>76</v>
      </c>
      <c r="N848" s="92" t="s">
        <v>77</v>
      </c>
      <c r="O848" s="92" t="b">
        <v>1</v>
      </c>
      <c r="P848" s="92"/>
      <c r="Q848" s="92" t="s">
        <v>79</v>
      </c>
      <c r="R848" s="92" t="s">
        <v>80</v>
      </c>
      <c r="S848" s="92" t="b">
        <v>1</v>
      </c>
      <c r="T848" s="100">
        <v>1</v>
      </c>
      <c r="U848" s="100">
        <v>1.5021036841152915E+19</v>
      </c>
      <c r="V848" s="100"/>
    </row>
    <row r="849" spans="4:22" ht="15" customHeight="1">
      <c r="D849" s="98" t="b">
        <v>0</v>
      </c>
      <c r="E849" s="93">
        <v>1</v>
      </c>
      <c r="F849" s="91">
        <v>3</v>
      </c>
      <c r="G849" s="91" t="s">
        <v>74</v>
      </c>
      <c r="H849" s="92">
        <v>20</v>
      </c>
      <c r="I849" s="92">
        <v>0</v>
      </c>
      <c r="J849" s="92">
        <v>0</v>
      </c>
      <c r="K849" s="92">
        <v>7.2291999999999996</v>
      </c>
      <c r="L849" s="92" t="s">
        <v>78</v>
      </c>
      <c r="M849" s="92" t="s">
        <v>76</v>
      </c>
      <c r="N849" s="92" t="s">
        <v>77</v>
      </c>
      <c r="O849" s="92" t="b">
        <v>1</v>
      </c>
      <c r="P849" s="92"/>
      <c r="Q849" s="92" t="s">
        <v>84</v>
      </c>
      <c r="R849" s="92" t="s">
        <v>85</v>
      </c>
      <c r="S849" s="92" t="b">
        <v>1</v>
      </c>
      <c r="T849" s="100">
        <v>1</v>
      </c>
      <c r="U849" s="100">
        <v>1.1990727096043518E+19</v>
      </c>
      <c r="V849" s="100"/>
    </row>
    <row r="850" spans="4:22" ht="15" customHeight="1">
      <c r="D850" s="98" t="b">
        <v>0</v>
      </c>
      <c r="E850" s="93">
        <v>1</v>
      </c>
      <c r="F850" s="91">
        <v>1</v>
      </c>
      <c r="G850" s="91" t="s">
        <v>81</v>
      </c>
      <c r="H850" s="92">
        <v>36</v>
      </c>
      <c r="I850" s="92">
        <v>1</v>
      </c>
      <c r="J850" s="92">
        <v>2</v>
      </c>
      <c r="K850" s="92">
        <v>120</v>
      </c>
      <c r="L850" s="92" t="s">
        <v>75</v>
      </c>
      <c r="M850" s="92" t="s">
        <v>82</v>
      </c>
      <c r="N850" s="92" t="s">
        <v>83</v>
      </c>
      <c r="O850" s="92" t="b">
        <v>0</v>
      </c>
      <c r="P850" s="92" t="s">
        <v>94</v>
      </c>
      <c r="Q850" s="92" t="s">
        <v>79</v>
      </c>
      <c r="R850" s="92" t="s">
        <v>85</v>
      </c>
      <c r="S850" s="92" t="b">
        <v>0</v>
      </c>
      <c r="T850" s="100">
        <v>0</v>
      </c>
      <c r="U850" s="100">
        <v>6.810709174891606E+18</v>
      </c>
      <c r="V850" s="100"/>
    </row>
    <row r="851" spans="4:22" ht="15" customHeight="1">
      <c r="D851" s="98" t="b">
        <v>0</v>
      </c>
      <c r="E851" s="93">
        <v>0</v>
      </c>
      <c r="F851" s="91">
        <v>3</v>
      </c>
      <c r="G851" s="91" t="s">
        <v>74</v>
      </c>
      <c r="H851" s="92">
        <v>16</v>
      </c>
      <c r="I851" s="92">
        <v>0</v>
      </c>
      <c r="J851" s="92">
        <v>0</v>
      </c>
      <c r="K851" s="92">
        <v>7.7750000000000004</v>
      </c>
      <c r="L851" s="92" t="s">
        <v>75</v>
      </c>
      <c r="M851" s="92" t="s">
        <v>76</v>
      </c>
      <c r="N851" s="92" t="s">
        <v>77</v>
      </c>
      <c r="O851" s="92" t="b">
        <v>1</v>
      </c>
      <c r="P851" s="92"/>
      <c r="Q851" s="92" t="s">
        <v>79</v>
      </c>
      <c r="R851" s="92" t="s">
        <v>80</v>
      </c>
      <c r="S851" s="92" t="b">
        <v>1</v>
      </c>
      <c r="T851" s="100">
        <v>1</v>
      </c>
      <c r="U851" s="100">
        <v>3.5876298287106954E+18</v>
      </c>
      <c r="V851" s="100"/>
    </row>
    <row r="852" spans="4:22" ht="15" customHeight="1">
      <c r="D852" s="98" t="b">
        <v>0</v>
      </c>
      <c r="E852" s="93">
        <v>1</v>
      </c>
      <c r="F852" s="91">
        <v>1</v>
      </c>
      <c r="G852" s="91" t="s">
        <v>81</v>
      </c>
      <c r="H852" s="92">
        <v>51</v>
      </c>
      <c r="I852" s="92">
        <v>1</v>
      </c>
      <c r="J852" s="92">
        <v>0</v>
      </c>
      <c r="K852" s="92">
        <v>77.958299999999994</v>
      </c>
      <c r="L852" s="92" t="s">
        <v>75</v>
      </c>
      <c r="M852" s="92" t="s">
        <v>82</v>
      </c>
      <c r="N852" s="92" t="s">
        <v>83</v>
      </c>
      <c r="O852" s="92" t="b">
        <v>0</v>
      </c>
      <c r="P852" s="92" t="s">
        <v>92</v>
      </c>
      <c r="Q852" s="92" t="s">
        <v>79</v>
      </c>
      <c r="R852" s="92" t="s">
        <v>85</v>
      </c>
      <c r="S852" s="92" t="b">
        <v>0</v>
      </c>
      <c r="T852" s="100">
        <v>0</v>
      </c>
      <c r="U852" s="100">
        <v>1.8364927536585685E+19</v>
      </c>
      <c r="V852" s="100"/>
    </row>
    <row r="853" spans="4:22" ht="15" customHeight="1">
      <c r="D853" s="98" t="b">
        <v>0</v>
      </c>
      <c r="E853" s="93">
        <v>0</v>
      </c>
      <c r="F853" s="91">
        <v>1</v>
      </c>
      <c r="G853" s="91" t="s">
        <v>74</v>
      </c>
      <c r="H853" s="92"/>
      <c r="I853" s="92">
        <v>0</v>
      </c>
      <c r="J853" s="92">
        <v>0</v>
      </c>
      <c r="K853" s="92">
        <v>39.6</v>
      </c>
      <c r="L853" s="92" t="s">
        <v>78</v>
      </c>
      <c r="M853" s="92" t="s">
        <v>82</v>
      </c>
      <c r="N853" s="92" t="s">
        <v>77</v>
      </c>
      <c r="O853" s="92" t="b">
        <v>1</v>
      </c>
      <c r="P853" s="92"/>
      <c r="Q853" s="92" t="s">
        <v>84</v>
      </c>
      <c r="R853" s="92" t="s">
        <v>80</v>
      </c>
      <c r="S853" s="92" t="b">
        <v>1</v>
      </c>
      <c r="T853" s="100">
        <v>1</v>
      </c>
      <c r="U853" s="100">
        <v>1.600905745010619E+19</v>
      </c>
      <c r="V853" s="100"/>
    </row>
    <row r="854" spans="4:22" ht="15" customHeight="1">
      <c r="D854" s="98" t="b">
        <v>0</v>
      </c>
      <c r="E854" s="93">
        <v>0</v>
      </c>
      <c r="F854" s="91">
        <v>3</v>
      </c>
      <c r="G854" s="91" t="s">
        <v>74</v>
      </c>
      <c r="H854" s="92"/>
      <c r="I854" s="92">
        <v>1</v>
      </c>
      <c r="J854" s="92">
        <v>0</v>
      </c>
      <c r="K854" s="92">
        <v>24.15</v>
      </c>
      <c r="L854" s="92" t="s">
        <v>86</v>
      </c>
      <c r="M854" s="92" t="s">
        <v>76</v>
      </c>
      <c r="N854" s="92" t="s">
        <v>77</v>
      </c>
      <c r="O854" s="92" t="b">
        <v>1</v>
      </c>
      <c r="P854" s="92"/>
      <c r="Q854" s="92" t="s">
        <v>87</v>
      </c>
      <c r="R854" s="92" t="s">
        <v>80</v>
      </c>
      <c r="S854" s="92" t="b">
        <v>0</v>
      </c>
      <c r="T854" s="100">
        <v>1</v>
      </c>
      <c r="U854" s="100">
        <v>6.9953933788410798E+18</v>
      </c>
      <c r="V854" s="100"/>
    </row>
    <row r="855" spans="4:22" ht="15" customHeight="1">
      <c r="D855" s="98" t="b">
        <v>0</v>
      </c>
      <c r="E855" s="93">
        <v>0</v>
      </c>
      <c r="F855" s="91">
        <v>3</v>
      </c>
      <c r="G855" s="91" t="s">
        <v>74</v>
      </c>
      <c r="H855" s="92">
        <v>32</v>
      </c>
      <c r="I855" s="92">
        <v>0</v>
      </c>
      <c r="J855" s="92">
        <v>0</v>
      </c>
      <c r="K855" s="92">
        <v>8.3625000000000007</v>
      </c>
      <c r="L855" s="92" t="s">
        <v>75</v>
      </c>
      <c r="M855" s="92" t="s">
        <v>76</v>
      </c>
      <c r="N855" s="92" t="s">
        <v>77</v>
      </c>
      <c r="O855" s="92" t="b">
        <v>1</v>
      </c>
      <c r="P855" s="92"/>
      <c r="Q855" s="92" t="s">
        <v>79</v>
      </c>
      <c r="R855" s="92" t="s">
        <v>80</v>
      </c>
      <c r="S855" s="92" t="b">
        <v>1</v>
      </c>
      <c r="T855" s="100">
        <v>1</v>
      </c>
      <c r="U855" s="100">
        <v>1.1342986546231824E+19</v>
      </c>
      <c r="V855" s="100"/>
    </row>
    <row r="856" spans="4:22" ht="15" customHeight="1">
      <c r="D856" s="98" t="b">
        <v>0</v>
      </c>
      <c r="E856" s="93">
        <v>0</v>
      </c>
      <c r="F856" s="91">
        <v>3</v>
      </c>
      <c r="G856" s="91" t="s">
        <v>74</v>
      </c>
      <c r="H856" s="92">
        <v>24</v>
      </c>
      <c r="I856" s="92">
        <v>0</v>
      </c>
      <c r="J856" s="92">
        <v>0</v>
      </c>
      <c r="K856" s="92">
        <v>9.5</v>
      </c>
      <c r="L856" s="92" t="s">
        <v>75</v>
      </c>
      <c r="M856" s="92" t="s">
        <v>76</v>
      </c>
      <c r="N856" s="92" t="s">
        <v>77</v>
      </c>
      <c r="O856" s="92" t="b">
        <v>1</v>
      </c>
      <c r="P856" s="92"/>
      <c r="Q856" s="92" t="s">
        <v>79</v>
      </c>
      <c r="R856" s="92" t="s">
        <v>80</v>
      </c>
      <c r="S856" s="92" t="b">
        <v>1</v>
      </c>
      <c r="T856" s="100">
        <v>1</v>
      </c>
      <c r="U856" s="100">
        <v>6.143437055685546E+18</v>
      </c>
      <c r="V856" s="100"/>
    </row>
    <row r="857" spans="4:22" ht="15" customHeight="1">
      <c r="D857" s="98" t="b">
        <v>0</v>
      </c>
      <c r="E857" s="93">
        <v>0</v>
      </c>
      <c r="F857" s="91">
        <v>3</v>
      </c>
      <c r="G857" s="91" t="s">
        <v>74</v>
      </c>
      <c r="H857" s="92">
        <v>48</v>
      </c>
      <c r="I857" s="92">
        <v>0</v>
      </c>
      <c r="J857" s="92">
        <v>0</v>
      </c>
      <c r="K857" s="92">
        <v>7.8541999999999996</v>
      </c>
      <c r="L857" s="92" t="s">
        <v>75</v>
      </c>
      <c r="M857" s="92" t="s">
        <v>76</v>
      </c>
      <c r="N857" s="92" t="s">
        <v>77</v>
      </c>
      <c r="O857" s="92" t="b">
        <v>1</v>
      </c>
      <c r="P857" s="92"/>
      <c r="Q857" s="92" t="s">
        <v>79</v>
      </c>
      <c r="R857" s="92" t="s">
        <v>80</v>
      </c>
      <c r="S857" s="92" t="b">
        <v>1</v>
      </c>
      <c r="T857" s="100">
        <v>1</v>
      </c>
      <c r="U857" s="100">
        <v>1.7946825882567488E+18</v>
      </c>
      <c r="V857" s="100"/>
    </row>
    <row r="858" spans="4:22" ht="15" customHeight="1">
      <c r="D858" s="98" t="b">
        <v>0</v>
      </c>
      <c r="E858" s="93">
        <v>0</v>
      </c>
      <c r="F858" s="91">
        <v>2</v>
      </c>
      <c r="G858" s="91" t="s">
        <v>81</v>
      </c>
      <c r="H858" s="92">
        <v>57</v>
      </c>
      <c r="I858" s="92">
        <v>0</v>
      </c>
      <c r="J858" s="92">
        <v>0</v>
      </c>
      <c r="K858" s="92">
        <v>10.5</v>
      </c>
      <c r="L858" s="92" t="s">
        <v>75</v>
      </c>
      <c r="M858" s="92" t="s">
        <v>90</v>
      </c>
      <c r="N858" s="92" t="s">
        <v>83</v>
      </c>
      <c r="O858" s="92" t="b">
        <v>0</v>
      </c>
      <c r="P858" s="92" t="s">
        <v>88</v>
      </c>
      <c r="Q858" s="92" t="s">
        <v>79</v>
      </c>
      <c r="R858" s="92" t="s">
        <v>80</v>
      </c>
      <c r="S858" s="92" t="b">
        <v>1</v>
      </c>
      <c r="T858" s="100">
        <v>0</v>
      </c>
      <c r="U858" s="100">
        <v>7.0780072996513034E+18</v>
      </c>
      <c r="V858" s="100"/>
    </row>
    <row r="859" spans="4:22" ht="15" customHeight="1">
      <c r="D859" s="98" t="b">
        <v>0</v>
      </c>
      <c r="E859" s="93">
        <v>0</v>
      </c>
      <c r="F859" s="91">
        <v>3</v>
      </c>
      <c r="G859" s="91" t="s">
        <v>74</v>
      </c>
      <c r="H859" s="92"/>
      <c r="I859" s="92">
        <v>0</v>
      </c>
      <c r="J859" s="92">
        <v>0</v>
      </c>
      <c r="K859" s="92">
        <v>7.2249999999999996</v>
      </c>
      <c r="L859" s="92" t="s">
        <v>78</v>
      </c>
      <c r="M859" s="92" t="s">
        <v>76</v>
      </c>
      <c r="N859" s="92" t="s">
        <v>77</v>
      </c>
      <c r="O859" s="92" t="b">
        <v>1</v>
      </c>
      <c r="P859" s="92"/>
      <c r="Q859" s="92" t="s">
        <v>84</v>
      </c>
      <c r="R859" s="92" t="s">
        <v>80</v>
      </c>
      <c r="S859" s="92" t="b">
        <v>1</v>
      </c>
      <c r="T859" s="100">
        <v>1</v>
      </c>
      <c r="U859" s="100">
        <v>4.2150475999644298E+18</v>
      </c>
      <c r="V859" s="100"/>
    </row>
    <row r="860" spans="4:22" ht="15" customHeight="1">
      <c r="D860" s="98" t="b">
        <v>0</v>
      </c>
      <c r="E860" s="93">
        <v>1</v>
      </c>
      <c r="F860" s="91">
        <v>2</v>
      </c>
      <c r="G860" s="91" t="s">
        <v>81</v>
      </c>
      <c r="H860" s="92">
        <v>54</v>
      </c>
      <c r="I860" s="92">
        <v>1</v>
      </c>
      <c r="J860" s="92">
        <v>3</v>
      </c>
      <c r="K860" s="92">
        <v>23</v>
      </c>
      <c r="L860" s="92" t="s">
        <v>75</v>
      </c>
      <c r="M860" s="92" t="s">
        <v>90</v>
      </c>
      <c r="N860" s="92" t="s">
        <v>83</v>
      </c>
      <c r="O860" s="92" t="b">
        <v>0</v>
      </c>
      <c r="P860" s="92"/>
      <c r="Q860" s="92" t="s">
        <v>79</v>
      </c>
      <c r="R860" s="92" t="s">
        <v>85</v>
      </c>
      <c r="S860" s="92" t="b">
        <v>0</v>
      </c>
      <c r="T860" s="100">
        <v>1</v>
      </c>
      <c r="U860" s="100">
        <v>3.5748613834987482E+17</v>
      </c>
      <c r="V860" s="100"/>
    </row>
    <row r="861" spans="4:22" ht="15" customHeight="1">
      <c r="D861" s="98" t="b">
        <v>0</v>
      </c>
      <c r="E861" s="93">
        <v>0</v>
      </c>
      <c r="F861" s="91">
        <v>3</v>
      </c>
      <c r="G861" s="91" t="s">
        <v>74</v>
      </c>
      <c r="H861" s="92">
        <v>18</v>
      </c>
      <c r="I861" s="92">
        <v>0</v>
      </c>
      <c r="J861" s="92">
        <v>0</v>
      </c>
      <c r="K861" s="92">
        <v>7.75</v>
      </c>
      <c r="L861" s="92" t="s">
        <v>75</v>
      </c>
      <c r="M861" s="92" t="s">
        <v>76</v>
      </c>
      <c r="N861" s="92" t="s">
        <v>77</v>
      </c>
      <c r="O861" s="92" t="b">
        <v>1</v>
      </c>
      <c r="P861" s="92"/>
      <c r="Q861" s="92" t="s">
        <v>79</v>
      </c>
      <c r="R861" s="92" t="s">
        <v>80</v>
      </c>
      <c r="S861" s="92" t="b">
        <v>1</v>
      </c>
      <c r="T861" s="100">
        <v>1</v>
      </c>
      <c r="U861" s="100">
        <v>4.8388064946438257E+18</v>
      </c>
      <c r="V861" s="100"/>
    </row>
    <row r="862" spans="4:22" ht="15" customHeight="1">
      <c r="D862" s="98" t="b">
        <v>0</v>
      </c>
      <c r="E862" s="93">
        <v>0</v>
      </c>
      <c r="F862" s="91">
        <v>3</v>
      </c>
      <c r="G862" s="91" t="s">
        <v>74</v>
      </c>
      <c r="H862" s="92"/>
      <c r="I862" s="92">
        <v>0</v>
      </c>
      <c r="J862" s="92">
        <v>0</v>
      </c>
      <c r="K862" s="92">
        <v>7.75</v>
      </c>
      <c r="L862" s="92" t="s">
        <v>86</v>
      </c>
      <c r="M862" s="92" t="s">
        <v>76</v>
      </c>
      <c r="N862" s="92" t="s">
        <v>77</v>
      </c>
      <c r="O862" s="92" t="b">
        <v>1</v>
      </c>
      <c r="P862" s="92" t="s">
        <v>95</v>
      </c>
      <c r="Q862" s="92" t="s">
        <v>87</v>
      </c>
      <c r="R862" s="92" t="s">
        <v>80</v>
      </c>
      <c r="S862" s="92" t="b">
        <v>1</v>
      </c>
      <c r="T862" s="100">
        <v>1</v>
      </c>
      <c r="U862" s="100">
        <v>1.1118937640117512E+19</v>
      </c>
      <c r="V862" s="100"/>
    </row>
    <row r="863" spans="4:22" ht="15" customHeight="1">
      <c r="D863" s="98" t="b">
        <v>0</v>
      </c>
      <c r="E863" s="93">
        <v>1</v>
      </c>
      <c r="F863" s="91">
        <v>3</v>
      </c>
      <c r="G863" s="91" t="s">
        <v>81</v>
      </c>
      <c r="H863" s="92">
        <v>5</v>
      </c>
      <c r="I863" s="92">
        <v>0</v>
      </c>
      <c r="J863" s="92">
        <v>0</v>
      </c>
      <c r="K863" s="92">
        <v>12.475</v>
      </c>
      <c r="L863" s="92" t="s">
        <v>75</v>
      </c>
      <c r="M863" s="92" t="s">
        <v>76</v>
      </c>
      <c r="N863" s="92" t="s">
        <v>89</v>
      </c>
      <c r="O863" s="92" t="b">
        <v>0</v>
      </c>
      <c r="P863" s="92"/>
      <c r="Q863" s="92" t="s">
        <v>79</v>
      </c>
      <c r="R863" s="92" t="s">
        <v>85</v>
      </c>
      <c r="S863" s="92" t="b">
        <v>1</v>
      </c>
      <c r="T863" s="100">
        <v>1</v>
      </c>
      <c r="U863" s="100">
        <v>1.3847975435093314E+19</v>
      </c>
      <c r="V863" s="100"/>
    </row>
    <row r="864" spans="4:22" ht="15" customHeight="1">
      <c r="D864" s="98" t="b">
        <v>0</v>
      </c>
      <c r="E864" s="93">
        <v>0</v>
      </c>
      <c r="F864" s="91">
        <v>3</v>
      </c>
      <c r="G864" s="91" t="s">
        <v>74</v>
      </c>
      <c r="H864" s="92"/>
      <c r="I864" s="92">
        <v>0</v>
      </c>
      <c r="J864" s="92">
        <v>0</v>
      </c>
      <c r="K864" s="92">
        <v>7.7374999999999998</v>
      </c>
      <c r="L864" s="92" t="s">
        <v>86</v>
      </c>
      <c r="M864" s="92" t="s">
        <v>76</v>
      </c>
      <c r="N864" s="92" t="s">
        <v>77</v>
      </c>
      <c r="O864" s="92" t="b">
        <v>1</v>
      </c>
      <c r="P864" s="92"/>
      <c r="Q864" s="92" t="s">
        <v>87</v>
      </c>
      <c r="R864" s="92" t="s">
        <v>80</v>
      </c>
      <c r="S864" s="92" t="b">
        <v>1</v>
      </c>
      <c r="T864" s="100">
        <v>1</v>
      </c>
      <c r="U864" s="100">
        <v>9.8756316525052723E+18</v>
      </c>
      <c r="V864" s="100"/>
    </row>
    <row r="865" spans="4:22" ht="15" customHeight="1">
      <c r="D865" s="98" t="b">
        <v>0</v>
      </c>
      <c r="E865" s="93">
        <v>1</v>
      </c>
      <c r="F865" s="91">
        <v>1</v>
      </c>
      <c r="G865" s="91" t="s">
        <v>81</v>
      </c>
      <c r="H865" s="92">
        <v>43</v>
      </c>
      <c r="I865" s="92">
        <v>0</v>
      </c>
      <c r="J865" s="92">
        <v>1</v>
      </c>
      <c r="K865" s="92">
        <v>211.33750000000001</v>
      </c>
      <c r="L865" s="92" t="s">
        <v>75</v>
      </c>
      <c r="M865" s="92" t="s">
        <v>82</v>
      </c>
      <c r="N865" s="92" t="s">
        <v>83</v>
      </c>
      <c r="O865" s="92" t="b">
        <v>0</v>
      </c>
      <c r="P865" s="92" t="s">
        <v>94</v>
      </c>
      <c r="Q865" s="92" t="s">
        <v>79</v>
      </c>
      <c r="R865" s="92" t="s">
        <v>85</v>
      </c>
      <c r="S865" s="92" t="b">
        <v>0</v>
      </c>
      <c r="T865" s="100">
        <v>0</v>
      </c>
      <c r="U865" s="100">
        <v>1.0037250544510945E+19</v>
      </c>
      <c r="V865" s="100"/>
    </row>
    <row r="866" spans="4:22" ht="15" customHeight="1">
      <c r="D866" s="98" t="b">
        <v>0</v>
      </c>
      <c r="E866" s="93">
        <v>1</v>
      </c>
      <c r="F866" s="91">
        <v>3</v>
      </c>
      <c r="G866" s="91" t="s">
        <v>81</v>
      </c>
      <c r="H866" s="92">
        <v>13</v>
      </c>
      <c r="I866" s="92">
        <v>0</v>
      </c>
      <c r="J866" s="92">
        <v>0</v>
      </c>
      <c r="K866" s="92">
        <v>7.2291999999999996</v>
      </c>
      <c r="L866" s="92" t="s">
        <v>78</v>
      </c>
      <c r="M866" s="92" t="s">
        <v>76</v>
      </c>
      <c r="N866" s="92" t="s">
        <v>89</v>
      </c>
      <c r="O866" s="92" t="b">
        <v>0</v>
      </c>
      <c r="P866" s="92"/>
      <c r="Q866" s="92" t="s">
        <v>84</v>
      </c>
      <c r="R866" s="92" t="s">
        <v>85</v>
      </c>
      <c r="S866" s="92" t="b">
        <v>1</v>
      </c>
      <c r="T866" s="100">
        <v>1</v>
      </c>
      <c r="U866" s="100">
        <v>1.0863413858420062E+19</v>
      </c>
      <c r="V866" s="100"/>
    </row>
    <row r="867" spans="4:22" ht="15" customHeight="1">
      <c r="D867" s="98" t="b">
        <v>0</v>
      </c>
      <c r="E867" s="93">
        <v>1</v>
      </c>
      <c r="F867" s="91">
        <v>1</v>
      </c>
      <c r="G867" s="91" t="s">
        <v>81</v>
      </c>
      <c r="H867" s="92">
        <v>17</v>
      </c>
      <c r="I867" s="92">
        <v>1</v>
      </c>
      <c r="J867" s="92">
        <v>0</v>
      </c>
      <c r="K867" s="92">
        <v>57</v>
      </c>
      <c r="L867" s="92" t="s">
        <v>75</v>
      </c>
      <c r="M867" s="92" t="s">
        <v>82</v>
      </c>
      <c r="N867" s="92" t="s">
        <v>83</v>
      </c>
      <c r="O867" s="92" t="b">
        <v>0</v>
      </c>
      <c r="P867" s="92" t="s">
        <v>94</v>
      </c>
      <c r="Q867" s="92" t="s">
        <v>79</v>
      </c>
      <c r="R867" s="92" t="s">
        <v>85</v>
      </c>
      <c r="S867" s="92" t="b">
        <v>0</v>
      </c>
      <c r="T867" s="100">
        <v>0</v>
      </c>
      <c r="U867" s="100">
        <v>6.5257545693596385E+18</v>
      </c>
      <c r="V867" s="100"/>
    </row>
    <row r="868" spans="4:22" ht="15" customHeight="1">
      <c r="D868" s="98" t="b">
        <v>0</v>
      </c>
      <c r="E868" s="93">
        <v>0</v>
      </c>
      <c r="F868" s="91">
        <v>1</v>
      </c>
      <c r="G868" s="91" t="s">
        <v>74</v>
      </c>
      <c r="H868" s="92">
        <v>29</v>
      </c>
      <c r="I868" s="92">
        <v>0</v>
      </c>
      <c r="J868" s="92">
        <v>0</v>
      </c>
      <c r="K868" s="92">
        <v>30</v>
      </c>
      <c r="L868" s="92" t="s">
        <v>75</v>
      </c>
      <c r="M868" s="92" t="s">
        <v>82</v>
      </c>
      <c r="N868" s="92" t="s">
        <v>77</v>
      </c>
      <c r="O868" s="92" t="b">
        <v>1</v>
      </c>
      <c r="P868" s="92" t="s">
        <v>92</v>
      </c>
      <c r="Q868" s="92" t="s">
        <v>79</v>
      </c>
      <c r="R868" s="92" t="s">
        <v>80</v>
      </c>
      <c r="S868" s="92" t="b">
        <v>1</v>
      </c>
      <c r="T868" s="100">
        <v>0</v>
      </c>
      <c r="U868" s="100">
        <v>1.8978261110036462E+18</v>
      </c>
      <c r="V868" s="100"/>
    </row>
    <row r="869" spans="4:22" ht="15" customHeight="1">
      <c r="D869" s="98" t="b">
        <v>0</v>
      </c>
      <c r="E869" s="93">
        <v>0</v>
      </c>
      <c r="F869" s="91">
        <v>3</v>
      </c>
      <c r="G869" s="91" t="s">
        <v>74</v>
      </c>
      <c r="H869" s="92"/>
      <c r="I869" s="92">
        <v>1</v>
      </c>
      <c r="J869" s="92">
        <v>2</v>
      </c>
      <c r="K869" s="92">
        <v>23.45</v>
      </c>
      <c r="L869" s="92" t="s">
        <v>75</v>
      </c>
      <c r="M869" s="92" t="s">
        <v>76</v>
      </c>
      <c r="N869" s="92" t="s">
        <v>77</v>
      </c>
      <c r="O869" s="92" t="b">
        <v>1</v>
      </c>
      <c r="P869" s="92"/>
      <c r="Q869" s="92" t="s">
        <v>79</v>
      </c>
      <c r="R869" s="92" t="s">
        <v>80</v>
      </c>
      <c r="S869" s="92" t="b">
        <v>0</v>
      </c>
      <c r="T869" s="100">
        <v>1</v>
      </c>
      <c r="U869" s="100">
        <v>6.5686033359317586E+18</v>
      </c>
      <c r="V869" s="100"/>
    </row>
    <row r="870" spans="4:22" ht="15" customHeight="1">
      <c r="D870" s="98" t="b">
        <v>0</v>
      </c>
      <c r="E870" s="93">
        <v>0</v>
      </c>
      <c r="F870" s="91">
        <v>3</v>
      </c>
      <c r="G870" s="91" t="s">
        <v>74</v>
      </c>
      <c r="H870" s="92">
        <v>25</v>
      </c>
      <c r="I870" s="92">
        <v>0</v>
      </c>
      <c r="J870" s="92">
        <v>0</v>
      </c>
      <c r="K870" s="92">
        <v>7.05</v>
      </c>
      <c r="L870" s="92" t="s">
        <v>75</v>
      </c>
      <c r="M870" s="92" t="s">
        <v>76</v>
      </c>
      <c r="N870" s="92" t="s">
        <v>77</v>
      </c>
      <c r="O870" s="92" t="b">
        <v>1</v>
      </c>
      <c r="P870" s="92"/>
      <c r="Q870" s="92" t="s">
        <v>79</v>
      </c>
      <c r="R870" s="92" t="s">
        <v>80</v>
      </c>
      <c r="S870" s="92" t="b">
        <v>1</v>
      </c>
      <c r="T870" s="100">
        <v>1</v>
      </c>
      <c r="U870" s="100">
        <v>1.5616974188912612E+18</v>
      </c>
      <c r="V870" s="100"/>
    </row>
    <row r="871" spans="4:22" ht="15" customHeight="1">
      <c r="D871" s="98" t="b">
        <v>0</v>
      </c>
      <c r="E871" s="93">
        <v>0</v>
      </c>
      <c r="F871" s="91">
        <v>3</v>
      </c>
      <c r="G871" s="91" t="s">
        <v>74</v>
      </c>
      <c r="H871" s="92">
        <v>25</v>
      </c>
      <c r="I871" s="92">
        <v>0</v>
      </c>
      <c r="J871" s="92">
        <v>0</v>
      </c>
      <c r="K871" s="92">
        <v>7.25</v>
      </c>
      <c r="L871" s="92" t="s">
        <v>75</v>
      </c>
      <c r="M871" s="92" t="s">
        <v>76</v>
      </c>
      <c r="N871" s="92" t="s">
        <v>77</v>
      </c>
      <c r="O871" s="92" t="b">
        <v>1</v>
      </c>
      <c r="P871" s="92"/>
      <c r="Q871" s="92" t="s">
        <v>79</v>
      </c>
      <c r="R871" s="92" t="s">
        <v>80</v>
      </c>
      <c r="S871" s="92" t="b">
        <v>1</v>
      </c>
      <c r="T871" s="100">
        <v>1</v>
      </c>
      <c r="U871" s="100">
        <v>1.6050698851986051E+19</v>
      </c>
      <c r="V871" s="100"/>
    </row>
    <row r="872" spans="4:22" ht="15" customHeight="1">
      <c r="D872" s="98" t="b">
        <v>0</v>
      </c>
      <c r="E872" s="93">
        <v>1</v>
      </c>
      <c r="F872" s="91">
        <v>3</v>
      </c>
      <c r="G872" s="91" t="s">
        <v>81</v>
      </c>
      <c r="H872" s="92">
        <v>18</v>
      </c>
      <c r="I872" s="92">
        <v>0</v>
      </c>
      <c r="J872" s="92">
        <v>0</v>
      </c>
      <c r="K872" s="92">
        <v>7.4958</v>
      </c>
      <c r="L872" s="92" t="s">
        <v>75</v>
      </c>
      <c r="M872" s="92" t="s">
        <v>76</v>
      </c>
      <c r="N872" s="92" t="s">
        <v>83</v>
      </c>
      <c r="O872" s="92" t="b">
        <v>0</v>
      </c>
      <c r="P872" s="92"/>
      <c r="Q872" s="92" t="s">
        <v>79</v>
      </c>
      <c r="R872" s="92" t="s">
        <v>85</v>
      </c>
      <c r="S872" s="92" t="b">
        <v>1</v>
      </c>
      <c r="T872" s="100">
        <v>1</v>
      </c>
      <c r="U872" s="100">
        <v>7.2365561932436316E+18</v>
      </c>
      <c r="V872" s="100"/>
    </row>
    <row r="873" spans="4:22" ht="15" customHeight="1">
      <c r="D873" s="98" t="b">
        <v>0</v>
      </c>
      <c r="E873" s="93">
        <v>0</v>
      </c>
      <c r="F873" s="91">
        <v>3</v>
      </c>
      <c r="G873" s="91" t="s">
        <v>74</v>
      </c>
      <c r="H873" s="92">
        <v>8</v>
      </c>
      <c r="I873" s="92">
        <v>4</v>
      </c>
      <c r="J873" s="92">
        <v>1</v>
      </c>
      <c r="K873" s="92">
        <v>29.125</v>
      </c>
      <c r="L873" s="92" t="s">
        <v>86</v>
      </c>
      <c r="M873" s="92" t="s">
        <v>76</v>
      </c>
      <c r="N873" s="92" t="s">
        <v>89</v>
      </c>
      <c r="O873" s="92" t="b">
        <v>0</v>
      </c>
      <c r="P873" s="92"/>
      <c r="Q873" s="92" t="s">
        <v>87</v>
      </c>
      <c r="R873" s="92" t="s">
        <v>80</v>
      </c>
      <c r="S873" s="92" t="b">
        <v>0</v>
      </c>
      <c r="T873" s="100">
        <v>1</v>
      </c>
      <c r="U873" s="100">
        <v>1.4152248564346933E+19</v>
      </c>
      <c r="V873" s="100"/>
    </row>
    <row r="874" spans="4:22" ht="15" customHeight="1">
      <c r="D874" s="98" t="b">
        <v>0</v>
      </c>
      <c r="E874" s="93">
        <v>1</v>
      </c>
      <c r="F874" s="91">
        <v>3</v>
      </c>
      <c r="G874" s="91" t="s">
        <v>74</v>
      </c>
      <c r="H874" s="92">
        <v>1</v>
      </c>
      <c r="I874" s="92">
        <v>1</v>
      </c>
      <c r="J874" s="92">
        <v>2</v>
      </c>
      <c r="K874" s="92">
        <v>20.574999999999999</v>
      </c>
      <c r="L874" s="92" t="s">
        <v>75</v>
      </c>
      <c r="M874" s="92" t="s">
        <v>76</v>
      </c>
      <c r="N874" s="92" t="s">
        <v>89</v>
      </c>
      <c r="O874" s="92" t="b">
        <v>0</v>
      </c>
      <c r="P874" s="92"/>
      <c r="Q874" s="92" t="s">
        <v>79</v>
      </c>
      <c r="R874" s="92" t="s">
        <v>85</v>
      </c>
      <c r="S874" s="92" t="b">
        <v>0</v>
      </c>
      <c r="T874" s="100">
        <v>1</v>
      </c>
      <c r="U874" s="100">
        <v>3.1072868340450912E+17</v>
      </c>
      <c r="V874" s="100"/>
    </row>
    <row r="875" spans="4:22" ht="15" customHeight="1">
      <c r="D875" s="98" t="b">
        <v>0</v>
      </c>
      <c r="E875" s="93">
        <v>0</v>
      </c>
      <c r="F875" s="91">
        <v>1</v>
      </c>
      <c r="G875" s="91" t="s">
        <v>74</v>
      </c>
      <c r="H875" s="92">
        <v>46</v>
      </c>
      <c r="I875" s="92">
        <v>0</v>
      </c>
      <c r="J875" s="92">
        <v>0</v>
      </c>
      <c r="K875" s="92">
        <v>79.2</v>
      </c>
      <c r="L875" s="92" t="s">
        <v>78</v>
      </c>
      <c r="M875" s="92" t="s">
        <v>82</v>
      </c>
      <c r="N875" s="92" t="s">
        <v>77</v>
      </c>
      <c r="O875" s="92" t="b">
        <v>1</v>
      </c>
      <c r="P875" s="92" t="s">
        <v>94</v>
      </c>
      <c r="Q875" s="92" t="s">
        <v>84</v>
      </c>
      <c r="R875" s="92" t="s">
        <v>80</v>
      </c>
      <c r="S875" s="92" t="b">
        <v>1</v>
      </c>
      <c r="T875" s="100">
        <v>0</v>
      </c>
      <c r="U875" s="100">
        <v>1.702216782146857E+19</v>
      </c>
      <c r="V875" s="100"/>
    </row>
    <row r="876" spans="4:22" ht="15" customHeight="1">
      <c r="D876" s="98" t="b">
        <v>0</v>
      </c>
      <c r="E876" s="93">
        <v>0</v>
      </c>
      <c r="F876" s="91">
        <v>3</v>
      </c>
      <c r="G876" s="91" t="s">
        <v>74</v>
      </c>
      <c r="H876" s="92"/>
      <c r="I876" s="92">
        <v>0</v>
      </c>
      <c r="J876" s="92">
        <v>0</v>
      </c>
      <c r="K876" s="92">
        <v>7.75</v>
      </c>
      <c r="L876" s="92" t="s">
        <v>86</v>
      </c>
      <c r="M876" s="92" t="s">
        <v>76</v>
      </c>
      <c r="N876" s="92" t="s">
        <v>77</v>
      </c>
      <c r="O876" s="92" t="b">
        <v>1</v>
      </c>
      <c r="P876" s="92"/>
      <c r="Q876" s="92" t="s">
        <v>87</v>
      </c>
      <c r="R876" s="92" t="s">
        <v>80</v>
      </c>
      <c r="S876" s="92" t="b">
        <v>1</v>
      </c>
      <c r="T876" s="100">
        <v>1</v>
      </c>
      <c r="U876" s="100">
        <v>1.8659124076202463E+18</v>
      </c>
      <c r="V876" s="100"/>
    </row>
    <row r="877" spans="4:22" ht="15" customHeight="1">
      <c r="D877" s="98" t="b">
        <v>0</v>
      </c>
      <c r="E877" s="93">
        <v>0</v>
      </c>
      <c r="F877" s="91">
        <v>2</v>
      </c>
      <c r="G877" s="91" t="s">
        <v>74</v>
      </c>
      <c r="H877" s="92">
        <v>16</v>
      </c>
      <c r="I877" s="92">
        <v>0</v>
      </c>
      <c r="J877" s="92">
        <v>0</v>
      </c>
      <c r="K877" s="92">
        <v>26</v>
      </c>
      <c r="L877" s="92" t="s">
        <v>75</v>
      </c>
      <c r="M877" s="92" t="s">
        <v>90</v>
      </c>
      <c r="N877" s="92" t="s">
        <v>77</v>
      </c>
      <c r="O877" s="92" t="b">
        <v>1</v>
      </c>
      <c r="P877" s="92"/>
      <c r="Q877" s="92" t="s">
        <v>79</v>
      </c>
      <c r="R877" s="92" t="s">
        <v>80</v>
      </c>
      <c r="S877" s="92" t="b">
        <v>1</v>
      </c>
      <c r="T877" s="100">
        <v>1</v>
      </c>
      <c r="U877" s="100">
        <v>1.5259037507147622E+18</v>
      </c>
      <c r="V877" s="100"/>
    </row>
    <row r="878" spans="4:22" ht="15" customHeight="1">
      <c r="D878" s="98" t="b">
        <v>0</v>
      </c>
      <c r="E878" s="93">
        <v>0</v>
      </c>
      <c r="F878" s="91">
        <v>3</v>
      </c>
      <c r="G878" s="91" t="s">
        <v>81</v>
      </c>
      <c r="H878" s="92"/>
      <c r="I878" s="92">
        <v>8</v>
      </c>
      <c r="J878" s="92">
        <v>2</v>
      </c>
      <c r="K878" s="92">
        <v>69.55</v>
      </c>
      <c r="L878" s="92" t="s">
        <v>75</v>
      </c>
      <c r="M878" s="92" t="s">
        <v>76</v>
      </c>
      <c r="N878" s="92" t="s">
        <v>83</v>
      </c>
      <c r="O878" s="92" t="b">
        <v>0</v>
      </c>
      <c r="P878" s="92"/>
      <c r="Q878" s="92" t="s">
        <v>79</v>
      </c>
      <c r="R878" s="92" t="s">
        <v>80</v>
      </c>
      <c r="S878" s="92" t="b">
        <v>0</v>
      </c>
      <c r="T878" s="100">
        <v>1</v>
      </c>
      <c r="U878" s="100">
        <v>1.7786801565664006E+19</v>
      </c>
      <c r="V878" s="100"/>
    </row>
    <row r="879" spans="4:22" ht="15" customHeight="1">
      <c r="D879" s="98" t="b">
        <v>0</v>
      </c>
      <c r="E879" s="93">
        <v>0</v>
      </c>
      <c r="F879" s="91">
        <v>1</v>
      </c>
      <c r="G879" s="91" t="s">
        <v>74</v>
      </c>
      <c r="H879" s="92"/>
      <c r="I879" s="92">
        <v>0</v>
      </c>
      <c r="J879" s="92">
        <v>0</v>
      </c>
      <c r="K879" s="92">
        <v>30.695799999999998</v>
      </c>
      <c r="L879" s="92" t="s">
        <v>78</v>
      </c>
      <c r="M879" s="92" t="s">
        <v>82</v>
      </c>
      <c r="N879" s="92" t="s">
        <v>77</v>
      </c>
      <c r="O879" s="92" t="b">
        <v>1</v>
      </c>
      <c r="P879" s="92"/>
      <c r="Q879" s="92" t="s">
        <v>84</v>
      </c>
      <c r="R879" s="92" t="s">
        <v>80</v>
      </c>
      <c r="S879" s="92" t="b">
        <v>1</v>
      </c>
      <c r="T879" s="100">
        <v>1</v>
      </c>
      <c r="U879" s="100">
        <v>4.8424094774001981E+18</v>
      </c>
      <c r="V879" s="100"/>
    </row>
    <row r="880" spans="4:22" ht="15" customHeight="1">
      <c r="D880" s="98" t="b">
        <v>0</v>
      </c>
      <c r="E880" s="93">
        <v>0</v>
      </c>
      <c r="F880" s="91">
        <v>3</v>
      </c>
      <c r="G880" s="91" t="s">
        <v>74</v>
      </c>
      <c r="H880" s="92">
        <v>25</v>
      </c>
      <c r="I880" s="92">
        <v>0</v>
      </c>
      <c r="J880" s="92">
        <v>0</v>
      </c>
      <c r="K880" s="92">
        <v>7.8958000000000004</v>
      </c>
      <c r="L880" s="92" t="s">
        <v>75</v>
      </c>
      <c r="M880" s="92" t="s">
        <v>76</v>
      </c>
      <c r="N880" s="92" t="s">
        <v>77</v>
      </c>
      <c r="O880" s="92" t="b">
        <v>1</v>
      </c>
      <c r="P880" s="92"/>
      <c r="Q880" s="92" t="s">
        <v>79</v>
      </c>
      <c r="R880" s="92" t="s">
        <v>80</v>
      </c>
      <c r="S880" s="92" t="b">
        <v>1</v>
      </c>
      <c r="T880" s="100">
        <v>1</v>
      </c>
      <c r="U880" s="100">
        <v>1.5136678573954337E+19</v>
      </c>
      <c r="V880" s="100"/>
    </row>
    <row r="881" spans="4:22" ht="15" customHeight="1">
      <c r="D881" s="98" t="b">
        <v>0</v>
      </c>
      <c r="E881" s="93">
        <v>0</v>
      </c>
      <c r="F881" s="91">
        <v>2</v>
      </c>
      <c r="G881" s="91" t="s">
        <v>74</v>
      </c>
      <c r="H881" s="92">
        <v>39</v>
      </c>
      <c r="I881" s="92">
        <v>0</v>
      </c>
      <c r="J881" s="92">
        <v>0</v>
      </c>
      <c r="K881" s="92">
        <v>13</v>
      </c>
      <c r="L881" s="92" t="s">
        <v>75</v>
      </c>
      <c r="M881" s="92" t="s">
        <v>90</v>
      </c>
      <c r="N881" s="92" t="s">
        <v>77</v>
      </c>
      <c r="O881" s="92" t="b">
        <v>1</v>
      </c>
      <c r="P881" s="92"/>
      <c r="Q881" s="92" t="s">
        <v>79</v>
      </c>
      <c r="R881" s="92" t="s">
        <v>80</v>
      </c>
      <c r="S881" s="92" t="b">
        <v>1</v>
      </c>
      <c r="T881" s="100">
        <v>1</v>
      </c>
      <c r="U881" s="100">
        <v>1.3779945527285049E+19</v>
      </c>
      <c r="V881" s="100"/>
    </row>
    <row r="882" spans="4:22" ht="15" customHeight="1">
      <c r="D882" s="98" t="b">
        <v>0</v>
      </c>
      <c r="E882" s="93">
        <v>1</v>
      </c>
      <c r="F882" s="91">
        <v>1</v>
      </c>
      <c r="G882" s="91" t="s">
        <v>81</v>
      </c>
      <c r="H882" s="92">
        <v>49</v>
      </c>
      <c r="I882" s="92">
        <v>0</v>
      </c>
      <c r="J882" s="92">
        <v>0</v>
      </c>
      <c r="K882" s="92">
        <v>25.929200000000002</v>
      </c>
      <c r="L882" s="92" t="s">
        <v>75</v>
      </c>
      <c r="M882" s="92" t="s">
        <v>82</v>
      </c>
      <c r="N882" s="92" t="s">
        <v>83</v>
      </c>
      <c r="O882" s="92" t="b">
        <v>0</v>
      </c>
      <c r="P882" s="92" t="s">
        <v>92</v>
      </c>
      <c r="Q882" s="92" t="s">
        <v>79</v>
      </c>
      <c r="R882" s="92" t="s">
        <v>85</v>
      </c>
      <c r="S882" s="92" t="b">
        <v>1</v>
      </c>
      <c r="T882" s="100">
        <v>0</v>
      </c>
      <c r="U882" s="100">
        <v>4.0307643701193923E+18</v>
      </c>
      <c r="V882" s="100"/>
    </row>
    <row r="883" spans="4:22" ht="15" customHeight="1">
      <c r="D883" s="98" t="b">
        <v>0</v>
      </c>
      <c r="E883" s="93">
        <v>1</v>
      </c>
      <c r="F883" s="91">
        <v>3</v>
      </c>
      <c r="G883" s="91" t="s">
        <v>81</v>
      </c>
      <c r="H883" s="92">
        <v>31</v>
      </c>
      <c r="I883" s="92">
        <v>0</v>
      </c>
      <c r="J883" s="92">
        <v>0</v>
      </c>
      <c r="K883" s="92">
        <v>8.6832999999999991</v>
      </c>
      <c r="L883" s="92" t="s">
        <v>75</v>
      </c>
      <c r="M883" s="92" t="s">
        <v>76</v>
      </c>
      <c r="N883" s="92" t="s">
        <v>83</v>
      </c>
      <c r="O883" s="92" t="b">
        <v>0</v>
      </c>
      <c r="P883" s="92"/>
      <c r="Q883" s="92" t="s">
        <v>79</v>
      </c>
      <c r="R883" s="92" t="s">
        <v>85</v>
      </c>
      <c r="S883" s="92" t="b">
        <v>1</v>
      </c>
      <c r="T883" s="100">
        <v>1</v>
      </c>
      <c r="U883" s="100">
        <v>1.4793503526647955E+19</v>
      </c>
      <c r="V883" s="100"/>
    </row>
    <row r="884" spans="4:22" ht="15" customHeight="1">
      <c r="D884" s="98" t="b">
        <v>0</v>
      </c>
      <c r="E884" s="93">
        <v>0</v>
      </c>
      <c r="F884" s="91">
        <v>3</v>
      </c>
      <c r="G884" s="91" t="s">
        <v>74</v>
      </c>
      <c r="H884" s="92">
        <v>30</v>
      </c>
      <c r="I884" s="92">
        <v>0</v>
      </c>
      <c r="J884" s="92">
        <v>0</v>
      </c>
      <c r="K884" s="92">
        <v>7.2291999999999996</v>
      </c>
      <c r="L884" s="92" t="s">
        <v>78</v>
      </c>
      <c r="M884" s="92" t="s">
        <v>76</v>
      </c>
      <c r="N884" s="92" t="s">
        <v>77</v>
      </c>
      <c r="O884" s="92" t="b">
        <v>1</v>
      </c>
      <c r="P884" s="92"/>
      <c r="Q884" s="92" t="s">
        <v>84</v>
      </c>
      <c r="R884" s="92" t="s">
        <v>80</v>
      </c>
      <c r="S884" s="92" t="b">
        <v>1</v>
      </c>
      <c r="T884" s="100">
        <v>1</v>
      </c>
      <c r="U884" s="100">
        <v>6.335686955211906E+18</v>
      </c>
      <c r="V884" s="100"/>
    </row>
    <row r="885" spans="4:22" ht="15" customHeight="1">
      <c r="D885" s="98" t="b">
        <v>0</v>
      </c>
      <c r="E885" s="93">
        <v>0</v>
      </c>
      <c r="F885" s="91">
        <v>3</v>
      </c>
      <c r="G885" s="91" t="s">
        <v>81</v>
      </c>
      <c r="H885" s="92">
        <v>30</v>
      </c>
      <c r="I885" s="92">
        <v>1</v>
      </c>
      <c r="J885" s="92">
        <v>1</v>
      </c>
      <c r="K885" s="92">
        <v>24.15</v>
      </c>
      <c r="L885" s="92" t="s">
        <v>75</v>
      </c>
      <c r="M885" s="92" t="s">
        <v>76</v>
      </c>
      <c r="N885" s="92" t="s">
        <v>83</v>
      </c>
      <c r="O885" s="92" t="b">
        <v>0</v>
      </c>
      <c r="P885" s="92"/>
      <c r="Q885" s="92" t="s">
        <v>79</v>
      </c>
      <c r="R885" s="92" t="s">
        <v>80</v>
      </c>
      <c r="S885" s="92" t="b">
        <v>0</v>
      </c>
      <c r="T885" s="100">
        <v>1</v>
      </c>
      <c r="U885" s="100">
        <v>4.4931244492596746E+18</v>
      </c>
      <c r="V885" s="100"/>
    </row>
    <row r="886" spans="4:22" ht="15" customHeight="1">
      <c r="D886" s="98" t="b">
        <v>0</v>
      </c>
      <c r="E886" s="93">
        <v>0</v>
      </c>
      <c r="F886" s="91">
        <v>2</v>
      </c>
      <c r="G886" s="91" t="s">
        <v>74</v>
      </c>
      <c r="H886" s="92">
        <v>34</v>
      </c>
      <c r="I886" s="92">
        <v>0</v>
      </c>
      <c r="J886" s="92">
        <v>0</v>
      </c>
      <c r="K886" s="92">
        <v>13</v>
      </c>
      <c r="L886" s="92" t="s">
        <v>75</v>
      </c>
      <c r="M886" s="92" t="s">
        <v>90</v>
      </c>
      <c r="N886" s="92" t="s">
        <v>77</v>
      </c>
      <c r="O886" s="92" t="b">
        <v>1</v>
      </c>
      <c r="P886" s="92"/>
      <c r="Q886" s="92" t="s">
        <v>79</v>
      </c>
      <c r="R886" s="92" t="s">
        <v>80</v>
      </c>
      <c r="S886" s="92" t="b">
        <v>1</v>
      </c>
      <c r="T886" s="100">
        <v>1</v>
      </c>
      <c r="U886" s="100">
        <v>2.3501804308997407E+18</v>
      </c>
      <c r="V886" s="100"/>
    </row>
    <row r="887" spans="4:22" ht="15" customHeight="1">
      <c r="D887" s="98" t="b">
        <v>0</v>
      </c>
      <c r="E887" s="93">
        <v>1</v>
      </c>
      <c r="F887" s="91">
        <v>2</v>
      </c>
      <c r="G887" s="91" t="s">
        <v>81</v>
      </c>
      <c r="H887" s="92">
        <v>31</v>
      </c>
      <c r="I887" s="92">
        <v>1</v>
      </c>
      <c r="J887" s="92">
        <v>1</v>
      </c>
      <c r="K887" s="92">
        <v>26.25</v>
      </c>
      <c r="L887" s="92" t="s">
        <v>75</v>
      </c>
      <c r="M887" s="92" t="s">
        <v>90</v>
      </c>
      <c r="N887" s="92" t="s">
        <v>83</v>
      </c>
      <c r="O887" s="92" t="b">
        <v>0</v>
      </c>
      <c r="P887" s="92"/>
      <c r="Q887" s="92" t="s">
        <v>79</v>
      </c>
      <c r="R887" s="92" t="s">
        <v>85</v>
      </c>
      <c r="S887" s="92" t="b">
        <v>0</v>
      </c>
      <c r="T887" s="100">
        <v>1</v>
      </c>
      <c r="U887" s="100">
        <v>7.2740498640704102E+18</v>
      </c>
      <c r="V887" s="100"/>
    </row>
    <row r="888" spans="4:22" ht="15" customHeight="1">
      <c r="D888" s="98" t="b">
        <v>0</v>
      </c>
      <c r="E888" s="93">
        <v>1</v>
      </c>
      <c r="F888" s="91">
        <v>1</v>
      </c>
      <c r="G888" s="91" t="s">
        <v>74</v>
      </c>
      <c r="H888" s="92">
        <v>11</v>
      </c>
      <c r="I888" s="92">
        <v>1</v>
      </c>
      <c r="J888" s="92">
        <v>2</v>
      </c>
      <c r="K888" s="92">
        <v>120</v>
      </c>
      <c r="L888" s="92" t="s">
        <v>75</v>
      </c>
      <c r="M888" s="92" t="s">
        <v>82</v>
      </c>
      <c r="N888" s="92" t="s">
        <v>89</v>
      </c>
      <c r="O888" s="92" t="b">
        <v>0</v>
      </c>
      <c r="P888" s="92" t="s">
        <v>94</v>
      </c>
      <c r="Q888" s="92" t="s">
        <v>79</v>
      </c>
      <c r="R888" s="92" t="s">
        <v>85</v>
      </c>
      <c r="S888" s="92" t="b">
        <v>0</v>
      </c>
      <c r="T888" s="100">
        <v>0</v>
      </c>
      <c r="U888" s="100">
        <v>1.1857828064323547E+19</v>
      </c>
      <c r="V888" s="100"/>
    </row>
    <row r="889" spans="4:22" ht="15" customHeight="1">
      <c r="D889" s="98" t="b">
        <v>0</v>
      </c>
      <c r="E889" s="93">
        <v>1</v>
      </c>
      <c r="F889" s="91">
        <v>3</v>
      </c>
      <c r="G889" s="91" t="s">
        <v>74</v>
      </c>
      <c r="H889" s="92">
        <v>27</v>
      </c>
      <c r="I889" s="92">
        <v>0</v>
      </c>
      <c r="J889" s="92">
        <v>0</v>
      </c>
      <c r="K889" s="92">
        <v>6.9749999999999996</v>
      </c>
      <c r="L889" s="92" t="s">
        <v>75</v>
      </c>
      <c r="M889" s="92" t="s">
        <v>76</v>
      </c>
      <c r="N889" s="92" t="s">
        <v>77</v>
      </c>
      <c r="O889" s="92" t="b">
        <v>1</v>
      </c>
      <c r="P889" s="92"/>
      <c r="Q889" s="92" t="s">
        <v>79</v>
      </c>
      <c r="R889" s="92" t="s">
        <v>85</v>
      </c>
      <c r="S889" s="92" t="b">
        <v>1</v>
      </c>
      <c r="T889" s="100">
        <v>1</v>
      </c>
      <c r="U889" s="100">
        <v>9.3479756153184031E+18</v>
      </c>
      <c r="V889" s="100"/>
    </row>
    <row r="890" spans="4:22" ht="15" customHeight="1">
      <c r="D890" s="98" t="b">
        <v>0</v>
      </c>
      <c r="E890" s="93">
        <v>0</v>
      </c>
      <c r="F890" s="91">
        <v>3</v>
      </c>
      <c r="G890" s="91" t="s">
        <v>74</v>
      </c>
      <c r="H890" s="92">
        <v>31</v>
      </c>
      <c r="I890" s="92">
        <v>0</v>
      </c>
      <c r="J890" s="92">
        <v>0</v>
      </c>
      <c r="K890" s="92">
        <v>7.7750000000000004</v>
      </c>
      <c r="L890" s="92" t="s">
        <v>75</v>
      </c>
      <c r="M890" s="92" t="s">
        <v>76</v>
      </c>
      <c r="N890" s="92" t="s">
        <v>77</v>
      </c>
      <c r="O890" s="92" t="b">
        <v>1</v>
      </c>
      <c r="P890" s="92"/>
      <c r="Q890" s="92" t="s">
        <v>79</v>
      </c>
      <c r="R890" s="92" t="s">
        <v>80</v>
      </c>
      <c r="S890" s="92" t="b">
        <v>1</v>
      </c>
      <c r="T890" s="100">
        <v>1</v>
      </c>
      <c r="U890" s="100">
        <v>2.8538887929640284E+18</v>
      </c>
      <c r="V890" s="100"/>
    </row>
    <row r="891" spans="4:22" ht="15" customHeight="1">
      <c r="D891" s="98" t="b">
        <v>0</v>
      </c>
      <c r="E891" s="93">
        <v>0</v>
      </c>
      <c r="F891" s="91">
        <v>1</v>
      </c>
      <c r="G891" s="91" t="s">
        <v>74</v>
      </c>
      <c r="H891" s="92">
        <v>39</v>
      </c>
      <c r="I891" s="92">
        <v>0</v>
      </c>
      <c r="J891" s="92">
        <v>0</v>
      </c>
      <c r="K891" s="92">
        <v>0</v>
      </c>
      <c r="L891" s="92" t="s">
        <v>75</v>
      </c>
      <c r="M891" s="92" t="s">
        <v>82</v>
      </c>
      <c r="N891" s="92" t="s">
        <v>77</v>
      </c>
      <c r="O891" s="92" t="b">
        <v>1</v>
      </c>
      <c r="P891" s="92" t="s">
        <v>93</v>
      </c>
      <c r="Q891" s="92" t="s">
        <v>79</v>
      </c>
      <c r="R891" s="92" t="s">
        <v>80</v>
      </c>
      <c r="S891" s="92" t="b">
        <v>1</v>
      </c>
      <c r="T891" s="100">
        <v>0</v>
      </c>
      <c r="U891" s="100">
        <v>1.1419120911862344E+19</v>
      </c>
      <c r="V891" s="100"/>
    </row>
    <row r="892" spans="4:22" ht="15" customHeight="1">
      <c r="D892" s="98" t="b">
        <v>0</v>
      </c>
      <c r="E892" s="93">
        <v>0</v>
      </c>
      <c r="F892" s="91">
        <v>3</v>
      </c>
      <c r="G892" s="91" t="s">
        <v>81</v>
      </c>
      <c r="H892" s="92">
        <v>18</v>
      </c>
      <c r="I892" s="92">
        <v>0</v>
      </c>
      <c r="J892" s="92">
        <v>0</v>
      </c>
      <c r="K892" s="92">
        <v>7.7750000000000004</v>
      </c>
      <c r="L892" s="92" t="s">
        <v>75</v>
      </c>
      <c r="M892" s="92" t="s">
        <v>76</v>
      </c>
      <c r="N892" s="92" t="s">
        <v>83</v>
      </c>
      <c r="O892" s="92" t="b">
        <v>0</v>
      </c>
      <c r="P892" s="92"/>
      <c r="Q892" s="92" t="s">
        <v>79</v>
      </c>
      <c r="R892" s="92" t="s">
        <v>80</v>
      </c>
      <c r="S892" s="92" t="b">
        <v>1</v>
      </c>
      <c r="T892" s="100">
        <v>1</v>
      </c>
      <c r="U892" s="100">
        <v>1.0101782256706345E+19</v>
      </c>
      <c r="V892" s="100"/>
    </row>
    <row r="893" spans="4:22" ht="15" customHeight="1">
      <c r="D893" s="98" t="b">
        <v>0</v>
      </c>
      <c r="E893" s="93">
        <v>0</v>
      </c>
      <c r="F893" s="91">
        <v>2</v>
      </c>
      <c r="G893" s="91" t="s">
        <v>74</v>
      </c>
      <c r="H893" s="92">
        <v>39</v>
      </c>
      <c r="I893" s="92">
        <v>0</v>
      </c>
      <c r="J893" s="92">
        <v>0</v>
      </c>
      <c r="K893" s="92">
        <v>13</v>
      </c>
      <c r="L893" s="92" t="s">
        <v>75</v>
      </c>
      <c r="M893" s="92" t="s">
        <v>90</v>
      </c>
      <c r="N893" s="92" t="s">
        <v>77</v>
      </c>
      <c r="O893" s="92" t="b">
        <v>1</v>
      </c>
      <c r="P893" s="92"/>
      <c r="Q893" s="92" t="s">
        <v>79</v>
      </c>
      <c r="R893" s="92" t="s">
        <v>80</v>
      </c>
      <c r="S893" s="92" t="b">
        <v>1</v>
      </c>
      <c r="T893" s="100">
        <v>1</v>
      </c>
      <c r="U893" s="100">
        <v>1.3779945527285049E+19</v>
      </c>
      <c r="V893" s="100"/>
    </row>
    <row r="894" spans="4:22" ht="15" customHeight="1">
      <c r="D894" s="98" t="b">
        <v>0</v>
      </c>
      <c r="E894" s="93">
        <v>1</v>
      </c>
      <c r="F894" s="91">
        <v>1</v>
      </c>
      <c r="G894" s="91" t="s">
        <v>81</v>
      </c>
      <c r="H894" s="92">
        <v>33</v>
      </c>
      <c r="I894" s="92">
        <v>1</v>
      </c>
      <c r="J894" s="92">
        <v>0</v>
      </c>
      <c r="K894" s="92">
        <v>53.1</v>
      </c>
      <c r="L894" s="92" t="s">
        <v>75</v>
      </c>
      <c r="M894" s="92" t="s">
        <v>82</v>
      </c>
      <c r="N894" s="92" t="s">
        <v>83</v>
      </c>
      <c r="O894" s="92" t="b">
        <v>0</v>
      </c>
      <c r="P894" s="92" t="s">
        <v>88</v>
      </c>
      <c r="Q894" s="92" t="s">
        <v>79</v>
      </c>
      <c r="R894" s="92" t="s">
        <v>85</v>
      </c>
      <c r="S894" s="92" t="b">
        <v>0</v>
      </c>
      <c r="T894" s="100">
        <v>0</v>
      </c>
      <c r="U894" s="100">
        <v>5.6145326010079242E+18</v>
      </c>
      <c r="V894" s="100"/>
    </row>
    <row r="895" spans="4:22" ht="15" customHeight="1">
      <c r="D895" s="98" t="b">
        <v>0</v>
      </c>
      <c r="E895" s="93">
        <v>0</v>
      </c>
      <c r="F895" s="91">
        <v>3</v>
      </c>
      <c r="G895" s="91" t="s">
        <v>74</v>
      </c>
      <c r="H895" s="92">
        <v>26</v>
      </c>
      <c r="I895" s="92">
        <v>0</v>
      </c>
      <c r="J895" s="92">
        <v>0</v>
      </c>
      <c r="K895" s="92">
        <v>7.8875000000000002</v>
      </c>
      <c r="L895" s="92" t="s">
        <v>75</v>
      </c>
      <c r="M895" s="92" t="s">
        <v>76</v>
      </c>
      <c r="N895" s="92" t="s">
        <v>77</v>
      </c>
      <c r="O895" s="92" t="b">
        <v>1</v>
      </c>
      <c r="P895" s="92"/>
      <c r="Q895" s="92" t="s">
        <v>79</v>
      </c>
      <c r="R895" s="92" t="s">
        <v>80</v>
      </c>
      <c r="S895" s="92" t="b">
        <v>1</v>
      </c>
      <c r="T895" s="100">
        <v>1</v>
      </c>
      <c r="U895" s="100">
        <v>1.104507099884415E+19</v>
      </c>
      <c r="V895" s="100"/>
    </row>
    <row r="896" spans="4:22" ht="15" customHeight="1">
      <c r="D896" s="98" t="b">
        <v>0</v>
      </c>
      <c r="E896" s="93">
        <v>0</v>
      </c>
      <c r="F896" s="91">
        <v>3</v>
      </c>
      <c r="G896" s="91" t="s">
        <v>74</v>
      </c>
      <c r="H896" s="92">
        <v>39</v>
      </c>
      <c r="I896" s="92">
        <v>0</v>
      </c>
      <c r="J896" s="92">
        <v>0</v>
      </c>
      <c r="K896" s="92">
        <v>24.15</v>
      </c>
      <c r="L896" s="92" t="s">
        <v>75</v>
      </c>
      <c r="M896" s="92" t="s">
        <v>76</v>
      </c>
      <c r="N896" s="92" t="s">
        <v>77</v>
      </c>
      <c r="O896" s="92" t="b">
        <v>1</v>
      </c>
      <c r="P896" s="92"/>
      <c r="Q896" s="92" t="s">
        <v>79</v>
      </c>
      <c r="R896" s="92" t="s">
        <v>80</v>
      </c>
      <c r="S896" s="92" t="b">
        <v>1</v>
      </c>
      <c r="T896" s="100">
        <v>1</v>
      </c>
      <c r="U896" s="100">
        <v>5.1908362137777091E+18</v>
      </c>
      <c r="V896" s="100"/>
    </row>
    <row r="897" spans="4:22" ht="15" customHeight="1">
      <c r="D897" s="98" t="b">
        <v>0</v>
      </c>
      <c r="E897" s="93">
        <v>0</v>
      </c>
      <c r="F897" s="91">
        <v>2</v>
      </c>
      <c r="G897" s="91" t="s">
        <v>74</v>
      </c>
      <c r="H897" s="92">
        <v>35</v>
      </c>
      <c r="I897" s="92">
        <v>0</v>
      </c>
      <c r="J897" s="92">
        <v>0</v>
      </c>
      <c r="K897" s="92">
        <v>10.5</v>
      </c>
      <c r="L897" s="92" t="s">
        <v>75</v>
      </c>
      <c r="M897" s="92" t="s">
        <v>90</v>
      </c>
      <c r="N897" s="92" t="s">
        <v>77</v>
      </c>
      <c r="O897" s="92" t="b">
        <v>1</v>
      </c>
      <c r="P897" s="92"/>
      <c r="Q897" s="92" t="s">
        <v>79</v>
      </c>
      <c r="R897" s="92" t="s">
        <v>80</v>
      </c>
      <c r="S897" s="92" t="b">
        <v>1</v>
      </c>
      <c r="T897" s="100">
        <v>1</v>
      </c>
      <c r="U897" s="100">
        <v>8.5991842018850816E+18</v>
      </c>
      <c r="V897" s="100"/>
    </row>
    <row r="898" spans="4:22" ht="15" customHeight="1">
      <c r="D898" s="98" t="b">
        <v>0</v>
      </c>
      <c r="E898" s="93">
        <v>0</v>
      </c>
      <c r="F898" s="91">
        <v>3</v>
      </c>
      <c r="G898" s="91" t="s">
        <v>81</v>
      </c>
      <c r="H898" s="92">
        <v>6</v>
      </c>
      <c r="I898" s="92">
        <v>4</v>
      </c>
      <c r="J898" s="92">
        <v>2</v>
      </c>
      <c r="K898" s="92">
        <v>31.274999999999999</v>
      </c>
      <c r="L898" s="92" t="s">
        <v>75</v>
      </c>
      <c r="M898" s="92" t="s">
        <v>76</v>
      </c>
      <c r="N898" s="92" t="s">
        <v>89</v>
      </c>
      <c r="O898" s="92" t="b">
        <v>0</v>
      </c>
      <c r="P898" s="92"/>
      <c r="Q898" s="92" t="s">
        <v>79</v>
      </c>
      <c r="R898" s="92" t="s">
        <v>80</v>
      </c>
      <c r="S898" s="92" t="b">
        <v>0</v>
      </c>
      <c r="T898" s="100">
        <v>1</v>
      </c>
      <c r="U898" s="100">
        <v>7.1505691485835428E+18</v>
      </c>
      <c r="V898" s="100"/>
    </row>
    <row r="899" spans="4:22" ht="15" customHeight="1">
      <c r="D899" s="98" t="b">
        <v>0</v>
      </c>
      <c r="E899" s="93">
        <v>0</v>
      </c>
      <c r="F899" s="91">
        <v>1</v>
      </c>
      <c r="G899" s="91" t="s">
        <v>74</v>
      </c>
      <c r="H899" s="92"/>
      <c r="I899" s="92">
        <v>0</v>
      </c>
      <c r="J899" s="92">
        <v>0</v>
      </c>
      <c r="K899" s="92">
        <v>0</v>
      </c>
      <c r="L899" s="92" t="s">
        <v>75</v>
      </c>
      <c r="M899" s="92" t="s">
        <v>82</v>
      </c>
      <c r="N899" s="92" t="s">
        <v>77</v>
      </c>
      <c r="O899" s="92" t="b">
        <v>1</v>
      </c>
      <c r="P899" s="92" t="s">
        <v>94</v>
      </c>
      <c r="Q899" s="92" t="s">
        <v>79</v>
      </c>
      <c r="R899" s="92" t="s">
        <v>80</v>
      </c>
      <c r="S899" s="92" t="b">
        <v>1</v>
      </c>
      <c r="T899" s="100">
        <v>1</v>
      </c>
      <c r="U899" s="100">
        <v>4.9102268249020457E+18</v>
      </c>
      <c r="V899" s="100"/>
    </row>
    <row r="900" spans="4:22" ht="15" customHeight="1">
      <c r="D900" s="98" t="b">
        <v>0</v>
      </c>
      <c r="E900" s="93">
        <v>0</v>
      </c>
      <c r="F900" s="91">
        <v>3</v>
      </c>
      <c r="G900" s="91" t="s">
        <v>81</v>
      </c>
      <c r="H900" s="92">
        <v>23</v>
      </c>
      <c r="I900" s="92">
        <v>0</v>
      </c>
      <c r="J900" s="92">
        <v>0</v>
      </c>
      <c r="K900" s="92">
        <v>7.9249999999999998</v>
      </c>
      <c r="L900" s="92" t="s">
        <v>75</v>
      </c>
      <c r="M900" s="92" t="s">
        <v>76</v>
      </c>
      <c r="N900" s="92" t="s">
        <v>83</v>
      </c>
      <c r="O900" s="92" t="b">
        <v>0</v>
      </c>
      <c r="P900" s="92"/>
      <c r="Q900" s="92" t="s">
        <v>79</v>
      </c>
      <c r="R900" s="92" t="s">
        <v>80</v>
      </c>
      <c r="S900" s="92" t="b">
        <v>1</v>
      </c>
      <c r="T900" s="100">
        <v>1</v>
      </c>
      <c r="U900" s="100">
        <v>1.2292972975144636E+19</v>
      </c>
      <c r="V900" s="100"/>
    </row>
    <row r="901" spans="4:22" ht="15" customHeight="1">
      <c r="D901" s="98" t="b">
        <v>0</v>
      </c>
      <c r="E901" s="93">
        <v>0</v>
      </c>
      <c r="F901" s="91">
        <v>2</v>
      </c>
      <c r="G901" s="91" t="s">
        <v>74</v>
      </c>
      <c r="H901" s="92">
        <v>31</v>
      </c>
      <c r="I901" s="92">
        <v>1</v>
      </c>
      <c r="J901" s="92">
        <v>1</v>
      </c>
      <c r="K901" s="92">
        <v>37.004199999999997</v>
      </c>
      <c r="L901" s="92" t="s">
        <v>78</v>
      </c>
      <c r="M901" s="92" t="s">
        <v>90</v>
      </c>
      <c r="N901" s="92" t="s">
        <v>77</v>
      </c>
      <c r="O901" s="92" t="b">
        <v>1</v>
      </c>
      <c r="P901" s="92"/>
      <c r="Q901" s="92" t="s">
        <v>84</v>
      </c>
      <c r="R901" s="92" t="s">
        <v>80</v>
      </c>
      <c r="S901" s="92" t="b">
        <v>0</v>
      </c>
      <c r="T901" s="100">
        <v>1</v>
      </c>
      <c r="U901" s="100">
        <v>2.52208027380318E+18</v>
      </c>
      <c r="V901" s="100"/>
    </row>
    <row r="902" spans="4:22" ht="15" customHeight="1">
      <c r="D902" s="98" t="b">
        <v>0</v>
      </c>
      <c r="E902" s="93">
        <v>0</v>
      </c>
      <c r="F902" s="91">
        <v>3</v>
      </c>
      <c r="G902" s="91" t="s">
        <v>74</v>
      </c>
      <c r="H902" s="92">
        <v>43</v>
      </c>
      <c r="I902" s="92">
        <v>0</v>
      </c>
      <c r="J902" s="92">
        <v>0</v>
      </c>
      <c r="K902" s="92">
        <v>6.45</v>
      </c>
      <c r="L902" s="92" t="s">
        <v>75</v>
      </c>
      <c r="M902" s="92" t="s">
        <v>76</v>
      </c>
      <c r="N902" s="92" t="s">
        <v>77</v>
      </c>
      <c r="O902" s="92" t="b">
        <v>1</v>
      </c>
      <c r="P902" s="92"/>
      <c r="Q902" s="92" t="s">
        <v>79</v>
      </c>
      <c r="R902" s="92" t="s">
        <v>80</v>
      </c>
      <c r="S902" s="92" t="b">
        <v>1</v>
      </c>
      <c r="T902" s="100">
        <v>1</v>
      </c>
      <c r="U902" s="100">
        <v>6.3953494517778227E+18</v>
      </c>
      <c r="V902" s="100"/>
    </row>
    <row r="903" spans="4:22" ht="15" customHeight="1">
      <c r="D903" s="98" t="b">
        <v>0</v>
      </c>
      <c r="E903" s="93">
        <v>0</v>
      </c>
      <c r="F903" s="91">
        <v>3</v>
      </c>
      <c r="G903" s="91" t="s">
        <v>74</v>
      </c>
      <c r="H903" s="92">
        <v>10</v>
      </c>
      <c r="I903" s="92">
        <v>3</v>
      </c>
      <c r="J903" s="92">
        <v>2</v>
      </c>
      <c r="K903" s="92">
        <v>27.9</v>
      </c>
      <c r="L903" s="92" t="s">
        <v>75</v>
      </c>
      <c r="M903" s="92" t="s">
        <v>76</v>
      </c>
      <c r="N903" s="92" t="s">
        <v>89</v>
      </c>
      <c r="O903" s="92" t="b">
        <v>0</v>
      </c>
      <c r="P903" s="92"/>
      <c r="Q903" s="92" t="s">
        <v>79</v>
      </c>
      <c r="R903" s="92" t="s">
        <v>80</v>
      </c>
      <c r="S903" s="92" t="b">
        <v>0</v>
      </c>
      <c r="T903" s="100">
        <v>1</v>
      </c>
      <c r="U903" s="100">
        <v>8.8929086472223427E+18</v>
      </c>
      <c r="V903" s="100"/>
    </row>
    <row r="904" spans="4:22" ht="15" customHeight="1">
      <c r="D904" s="98" t="b">
        <v>0</v>
      </c>
      <c r="E904" s="93">
        <v>1</v>
      </c>
      <c r="F904" s="91">
        <v>1</v>
      </c>
      <c r="G904" s="91" t="s">
        <v>81</v>
      </c>
      <c r="H904" s="92">
        <v>52</v>
      </c>
      <c r="I904" s="92">
        <v>1</v>
      </c>
      <c r="J904" s="92">
        <v>1</v>
      </c>
      <c r="K904" s="92">
        <v>93.5</v>
      </c>
      <c r="L904" s="92" t="s">
        <v>75</v>
      </c>
      <c r="M904" s="92" t="s">
        <v>82</v>
      </c>
      <c r="N904" s="92" t="s">
        <v>83</v>
      </c>
      <c r="O904" s="92" t="b">
        <v>0</v>
      </c>
      <c r="P904" s="92" t="s">
        <v>94</v>
      </c>
      <c r="Q904" s="92" t="s">
        <v>79</v>
      </c>
      <c r="R904" s="92" t="s">
        <v>85</v>
      </c>
      <c r="S904" s="92" t="b">
        <v>0</v>
      </c>
      <c r="T904" s="100">
        <v>0</v>
      </c>
      <c r="U904" s="100">
        <v>1.3473137023363598E+19</v>
      </c>
      <c r="V904" s="100"/>
    </row>
    <row r="905" spans="4:22" ht="15" customHeight="1">
      <c r="D905" s="98" t="b">
        <v>0</v>
      </c>
      <c r="E905" s="93">
        <v>1</v>
      </c>
      <c r="F905" s="91">
        <v>3</v>
      </c>
      <c r="G905" s="91" t="s">
        <v>74</v>
      </c>
      <c r="H905" s="92">
        <v>27</v>
      </c>
      <c r="I905" s="92">
        <v>0</v>
      </c>
      <c r="J905" s="92">
        <v>0</v>
      </c>
      <c r="K905" s="92">
        <v>8.6624999999999996</v>
      </c>
      <c r="L905" s="92" t="s">
        <v>75</v>
      </c>
      <c r="M905" s="92" t="s">
        <v>76</v>
      </c>
      <c r="N905" s="92" t="s">
        <v>77</v>
      </c>
      <c r="O905" s="92" t="b">
        <v>1</v>
      </c>
      <c r="P905" s="92"/>
      <c r="Q905" s="92" t="s">
        <v>79</v>
      </c>
      <c r="R905" s="92" t="s">
        <v>85</v>
      </c>
      <c r="S905" s="92" t="b">
        <v>1</v>
      </c>
      <c r="T905" s="100">
        <v>1</v>
      </c>
      <c r="U905" s="100">
        <v>1.0033279528950915E+19</v>
      </c>
      <c r="V905" s="100"/>
    </row>
    <row r="906" spans="4:22" ht="15" customHeight="1">
      <c r="D906" s="98" t="b">
        <v>0</v>
      </c>
      <c r="E906" s="93">
        <v>0</v>
      </c>
      <c r="F906" s="91">
        <v>1</v>
      </c>
      <c r="G906" s="91" t="s">
        <v>74</v>
      </c>
      <c r="H906" s="92">
        <v>38</v>
      </c>
      <c r="I906" s="92">
        <v>0</v>
      </c>
      <c r="J906" s="92">
        <v>0</v>
      </c>
      <c r="K906" s="92">
        <v>0</v>
      </c>
      <c r="L906" s="92" t="s">
        <v>75</v>
      </c>
      <c r="M906" s="92" t="s">
        <v>82</v>
      </c>
      <c r="N906" s="92" t="s">
        <v>77</v>
      </c>
      <c r="O906" s="92" t="b">
        <v>1</v>
      </c>
      <c r="P906" s="92"/>
      <c r="Q906" s="92" t="s">
        <v>79</v>
      </c>
      <c r="R906" s="92" t="s">
        <v>80</v>
      </c>
      <c r="S906" s="92" t="b">
        <v>1</v>
      </c>
      <c r="T906" s="100">
        <v>1</v>
      </c>
      <c r="U906" s="100">
        <v>8.4434462538586675E+18</v>
      </c>
      <c r="V906" s="100"/>
    </row>
    <row r="907" spans="4:22" ht="15" customHeight="1">
      <c r="D907" s="98" t="b">
        <v>0</v>
      </c>
      <c r="E907" s="93">
        <v>1</v>
      </c>
      <c r="F907" s="91">
        <v>3</v>
      </c>
      <c r="G907" s="91" t="s">
        <v>81</v>
      </c>
      <c r="H907" s="92">
        <v>27</v>
      </c>
      <c r="I907" s="92">
        <v>0</v>
      </c>
      <c r="J907" s="92">
        <v>1</v>
      </c>
      <c r="K907" s="92">
        <v>12.475</v>
      </c>
      <c r="L907" s="92" t="s">
        <v>75</v>
      </c>
      <c r="M907" s="92" t="s">
        <v>76</v>
      </c>
      <c r="N907" s="92" t="s">
        <v>83</v>
      </c>
      <c r="O907" s="92" t="b">
        <v>0</v>
      </c>
      <c r="P907" s="92" t="s">
        <v>88</v>
      </c>
      <c r="Q907" s="92" t="s">
        <v>79</v>
      </c>
      <c r="R907" s="92" t="s">
        <v>85</v>
      </c>
      <c r="S907" s="92" t="b">
        <v>0</v>
      </c>
      <c r="T907" s="100">
        <v>0</v>
      </c>
      <c r="U907" s="100">
        <v>4.7929623163533998E+18</v>
      </c>
      <c r="V907" s="100"/>
    </row>
    <row r="908" spans="4:22" ht="15" customHeight="1">
      <c r="D908" s="98" t="b">
        <v>0</v>
      </c>
      <c r="E908" s="93">
        <v>0</v>
      </c>
      <c r="F908" s="91">
        <v>3</v>
      </c>
      <c r="G908" s="91" t="s">
        <v>74</v>
      </c>
      <c r="H908" s="92">
        <v>2</v>
      </c>
      <c r="I908" s="92">
        <v>4</v>
      </c>
      <c r="J908" s="92">
        <v>1</v>
      </c>
      <c r="K908" s="92">
        <v>39.6875</v>
      </c>
      <c r="L908" s="92" t="s">
        <v>75</v>
      </c>
      <c r="M908" s="92" t="s">
        <v>76</v>
      </c>
      <c r="N908" s="92" t="s">
        <v>89</v>
      </c>
      <c r="O908" s="92" t="b">
        <v>0</v>
      </c>
      <c r="P908" s="92"/>
      <c r="Q908" s="92" t="s">
        <v>79</v>
      </c>
      <c r="R908" s="92" t="s">
        <v>80</v>
      </c>
      <c r="S908" s="92" t="b">
        <v>0</v>
      </c>
      <c r="T908" s="100">
        <v>1</v>
      </c>
      <c r="U908" s="100">
        <v>1.0546903045401627E+19</v>
      </c>
      <c r="V908" s="100"/>
    </row>
    <row r="909" spans="4:22" ht="15" customHeight="1">
      <c r="D909" s="98" t="b">
        <v>0</v>
      </c>
      <c r="E909" s="93">
        <v>0</v>
      </c>
      <c r="F909" s="91">
        <v>3</v>
      </c>
      <c r="G909" s="91" t="s">
        <v>74</v>
      </c>
      <c r="H909" s="92"/>
      <c r="I909" s="92">
        <v>0</v>
      </c>
      <c r="J909" s="92">
        <v>0</v>
      </c>
      <c r="K909" s="92">
        <v>6.95</v>
      </c>
      <c r="L909" s="92" t="s">
        <v>86</v>
      </c>
      <c r="M909" s="92" t="s">
        <v>76</v>
      </c>
      <c r="N909" s="92" t="s">
        <v>77</v>
      </c>
      <c r="O909" s="92" t="b">
        <v>1</v>
      </c>
      <c r="P909" s="92"/>
      <c r="Q909" s="92" t="s">
        <v>87</v>
      </c>
      <c r="R909" s="92" t="s">
        <v>80</v>
      </c>
      <c r="S909" s="92" t="b">
        <v>1</v>
      </c>
      <c r="T909" s="100">
        <v>1</v>
      </c>
      <c r="U909" s="100">
        <v>7.7091458430536888E+18</v>
      </c>
      <c r="V909" s="100"/>
    </row>
    <row r="910" spans="4:22" ht="15" customHeight="1">
      <c r="D910" s="98" t="b">
        <v>0</v>
      </c>
      <c r="E910" s="93">
        <v>0</v>
      </c>
      <c r="F910" s="91">
        <v>3</v>
      </c>
      <c r="G910" s="91" t="s">
        <v>74</v>
      </c>
      <c r="H910" s="92"/>
      <c r="I910" s="92">
        <v>0</v>
      </c>
      <c r="J910" s="92">
        <v>0</v>
      </c>
      <c r="K910" s="92">
        <v>56.495800000000003</v>
      </c>
      <c r="L910" s="92" t="s">
        <v>75</v>
      </c>
      <c r="M910" s="92" t="s">
        <v>76</v>
      </c>
      <c r="N910" s="92" t="s">
        <v>77</v>
      </c>
      <c r="O910" s="92" t="b">
        <v>1</v>
      </c>
      <c r="P910" s="92"/>
      <c r="Q910" s="92" t="s">
        <v>79</v>
      </c>
      <c r="R910" s="92" t="s">
        <v>80</v>
      </c>
      <c r="S910" s="92" t="b">
        <v>1</v>
      </c>
      <c r="T910" s="100">
        <v>1</v>
      </c>
      <c r="U910" s="100">
        <v>1.5808624657695752E+19</v>
      </c>
      <c r="V910" s="100"/>
    </row>
    <row r="911" spans="4:22" ht="15" customHeight="1">
      <c r="D911" s="98" t="b">
        <v>0</v>
      </c>
      <c r="E911" s="93">
        <v>1</v>
      </c>
      <c r="F911" s="91">
        <v>2</v>
      </c>
      <c r="G911" s="91" t="s">
        <v>74</v>
      </c>
      <c r="H911" s="92">
        <v>1</v>
      </c>
      <c r="I911" s="92">
        <v>0</v>
      </c>
      <c r="J911" s="92">
        <v>2</v>
      </c>
      <c r="K911" s="92">
        <v>37.004199999999997</v>
      </c>
      <c r="L911" s="92" t="s">
        <v>78</v>
      </c>
      <c r="M911" s="92" t="s">
        <v>90</v>
      </c>
      <c r="N911" s="92" t="s">
        <v>89</v>
      </c>
      <c r="O911" s="92" t="b">
        <v>0</v>
      </c>
      <c r="P911" s="92"/>
      <c r="Q911" s="92" t="s">
        <v>84</v>
      </c>
      <c r="R911" s="92" t="s">
        <v>85</v>
      </c>
      <c r="S911" s="92" t="b">
        <v>0</v>
      </c>
      <c r="T911" s="100">
        <v>1</v>
      </c>
      <c r="U911" s="100">
        <v>2.1338696527833569E+18</v>
      </c>
      <c r="V911" s="100"/>
    </row>
    <row r="912" spans="4:22" ht="15" customHeight="1">
      <c r="D912" s="98" t="b">
        <v>0</v>
      </c>
      <c r="E912" s="93">
        <v>1</v>
      </c>
      <c r="F912" s="91">
        <v>3</v>
      </c>
      <c r="G912" s="91" t="s">
        <v>74</v>
      </c>
      <c r="H912" s="92"/>
      <c r="I912" s="92">
        <v>0</v>
      </c>
      <c r="J912" s="92">
        <v>0</v>
      </c>
      <c r="K912" s="92">
        <v>7.75</v>
      </c>
      <c r="L912" s="92" t="s">
        <v>86</v>
      </c>
      <c r="M912" s="92" t="s">
        <v>76</v>
      </c>
      <c r="N912" s="92" t="s">
        <v>77</v>
      </c>
      <c r="O912" s="92" t="b">
        <v>1</v>
      </c>
      <c r="P912" s="92"/>
      <c r="Q912" s="92" t="s">
        <v>87</v>
      </c>
      <c r="R912" s="92" t="s">
        <v>85</v>
      </c>
      <c r="S912" s="92" t="b">
        <v>1</v>
      </c>
      <c r="T912" s="100">
        <v>1</v>
      </c>
      <c r="U912" s="100">
        <v>4.4197296866073656E+18</v>
      </c>
      <c r="V912" s="100"/>
    </row>
    <row r="913" spans="4:22" ht="15" customHeight="1">
      <c r="D913" s="98" t="b">
        <v>0</v>
      </c>
      <c r="E913" s="93">
        <v>1</v>
      </c>
      <c r="F913" s="91">
        <v>1</v>
      </c>
      <c r="G913" s="91" t="s">
        <v>81</v>
      </c>
      <c r="H913" s="92">
        <v>62</v>
      </c>
      <c r="I913" s="92">
        <v>0</v>
      </c>
      <c r="J913" s="92">
        <v>0</v>
      </c>
      <c r="K913" s="92">
        <v>80</v>
      </c>
      <c r="L913" s="92"/>
      <c r="M913" s="92" t="s">
        <v>82</v>
      </c>
      <c r="N913" s="92" t="s">
        <v>83</v>
      </c>
      <c r="O913" s="92" t="b">
        <v>0</v>
      </c>
      <c r="P913" s="92" t="s">
        <v>94</v>
      </c>
      <c r="Q913" s="92"/>
      <c r="R913" s="92" t="s">
        <v>85</v>
      </c>
      <c r="S913" s="92" t="b">
        <v>1</v>
      </c>
      <c r="T913" s="100">
        <v>1</v>
      </c>
      <c r="U913" s="100">
        <v>8.6859528234810737E+18</v>
      </c>
      <c r="V913" s="100"/>
    </row>
    <row r="914" spans="4:22" ht="15" customHeight="1">
      <c r="D914" s="98" t="b">
        <v>0</v>
      </c>
      <c r="E914" s="93">
        <v>1</v>
      </c>
      <c r="F914" s="91">
        <v>3</v>
      </c>
      <c r="G914" s="91" t="s">
        <v>81</v>
      </c>
      <c r="H914" s="92">
        <v>15</v>
      </c>
      <c r="I914" s="92">
        <v>1</v>
      </c>
      <c r="J914" s="92">
        <v>0</v>
      </c>
      <c r="K914" s="92">
        <v>14.4542</v>
      </c>
      <c r="L914" s="92" t="s">
        <v>78</v>
      </c>
      <c r="M914" s="92" t="s">
        <v>76</v>
      </c>
      <c r="N914" s="92" t="s">
        <v>89</v>
      </c>
      <c r="O914" s="92" t="b">
        <v>0</v>
      </c>
      <c r="P914" s="92"/>
      <c r="Q914" s="92" t="s">
        <v>84</v>
      </c>
      <c r="R914" s="92" t="s">
        <v>85</v>
      </c>
      <c r="S914" s="92" t="b">
        <v>0</v>
      </c>
      <c r="T914" s="100">
        <v>1</v>
      </c>
      <c r="U914" s="100">
        <v>7.6239978975306281E+18</v>
      </c>
      <c r="V914" s="100"/>
    </row>
    <row r="915" spans="4:22" ht="15" customHeight="1">
      <c r="D915" s="98" t="b">
        <v>0</v>
      </c>
      <c r="E915" s="93">
        <v>0</v>
      </c>
      <c r="F915" s="91">
        <v>3</v>
      </c>
      <c r="G915" s="91" t="s">
        <v>74</v>
      </c>
      <c r="H915" s="92"/>
      <c r="I915" s="92">
        <v>0</v>
      </c>
      <c r="J915" s="92">
        <v>0</v>
      </c>
      <c r="K915" s="92">
        <v>7.2291999999999996</v>
      </c>
      <c r="L915" s="92" t="s">
        <v>78</v>
      </c>
      <c r="M915" s="92" t="s">
        <v>76</v>
      </c>
      <c r="N915" s="92" t="s">
        <v>77</v>
      </c>
      <c r="O915" s="92" t="b">
        <v>1</v>
      </c>
      <c r="P915" s="92"/>
      <c r="Q915" s="92" t="s">
        <v>84</v>
      </c>
      <c r="R915" s="92" t="s">
        <v>80</v>
      </c>
      <c r="S915" s="92" t="b">
        <v>1</v>
      </c>
      <c r="T915" s="100">
        <v>1</v>
      </c>
      <c r="U915" s="100">
        <v>4.8387927669229558E+18</v>
      </c>
      <c r="V915" s="100"/>
    </row>
    <row r="916" spans="4:22" ht="15" customHeight="1">
      <c r="D916" s="98" t="b">
        <v>0</v>
      </c>
      <c r="E916" s="93">
        <v>0</v>
      </c>
      <c r="F916" s="91">
        <v>3</v>
      </c>
      <c r="G916" s="91" t="s">
        <v>74</v>
      </c>
      <c r="H916" s="92">
        <v>23</v>
      </c>
      <c r="I916" s="92">
        <v>0</v>
      </c>
      <c r="J916" s="92">
        <v>0</v>
      </c>
      <c r="K916" s="92">
        <v>7.8541999999999996</v>
      </c>
      <c r="L916" s="92" t="s">
        <v>75</v>
      </c>
      <c r="M916" s="92" t="s">
        <v>76</v>
      </c>
      <c r="N916" s="92" t="s">
        <v>77</v>
      </c>
      <c r="O916" s="92" t="b">
        <v>1</v>
      </c>
      <c r="P916" s="92"/>
      <c r="Q916" s="92" t="s">
        <v>79</v>
      </c>
      <c r="R916" s="92" t="s">
        <v>80</v>
      </c>
      <c r="S916" s="92" t="b">
        <v>1</v>
      </c>
      <c r="T916" s="100">
        <v>1</v>
      </c>
      <c r="U916" s="100">
        <v>3.1464721599991004E+18</v>
      </c>
      <c r="V916" s="100"/>
    </row>
    <row r="917" spans="4:22" ht="15" customHeight="1">
      <c r="D917" s="98" t="b">
        <v>0</v>
      </c>
      <c r="E917" s="93">
        <v>0</v>
      </c>
      <c r="F917" s="91">
        <v>3</v>
      </c>
      <c r="G917" s="91" t="s">
        <v>74</v>
      </c>
      <c r="H917" s="92">
        <v>18</v>
      </c>
      <c r="I917" s="92">
        <v>0</v>
      </c>
      <c r="J917" s="92">
        <v>0</v>
      </c>
      <c r="K917" s="92">
        <v>8.3000000000000007</v>
      </c>
      <c r="L917" s="92" t="s">
        <v>75</v>
      </c>
      <c r="M917" s="92" t="s">
        <v>76</v>
      </c>
      <c r="N917" s="92" t="s">
        <v>77</v>
      </c>
      <c r="O917" s="92" t="b">
        <v>1</v>
      </c>
      <c r="P917" s="92"/>
      <c r="Q917" s="92" t="s">
        <v>79</v>
      </c>
      <c r="R917" s="92" t="s">
        <v>80</v>
      </c>
      <c r="S917" s="92" t="b">
        <v>1</v>
      </c>
      <c r="T917" s="100">
        <v>1</v>
      </c>
      <c r="U917" s="100">
        <v>2.0527914597489713E+18</v>
      </c>
      <c r="V917" s="100"/>
    </row>
    <row r="918" spans="4:22" ht="15" customHeight="1">
      <c r="D918" s="98" t="b">
        <v>0</v>
      </c>
      <c r="E918" s="93">
        <v>1</v>
      </c>
      <c r="F918" s="91">
        <v>1</v>
      </c>
      <c r="G918" s="91" t="s">
        <v>81</v>
      </c>
      <c r="H918" s="92">
        <v>39</v>
      </c>
      <c r="I918" s="92">
        <v>1</v>
      </c>
      <c r="J918" s="92">
        <v>1</v>
      </c>
      <c r="K918" s="92">
        <v>83.158299999999997</v>
      </c>
      <c r="L918" s="92" t="s">
        <v>78</v>
      </c>
      <c r="M918" s="92" t="s">
        <v>82</v>
      </c>
      <c r="N918" s="92" t="s">
        <v>83</v>
      </c>
      <c r="O918" s="92" t="b">
        <v>0</v>
      </c>
      <c r="P918" s="92" t="s">
        <v>88</v>
      </c>
      <c r="Q918" s="92" t="s">
        <v>84</v>
      </c>
      <c r="R918" s="92" t="s">
        <v>85</v>
      </c>
      <c r="S918" s="92" t="b">
        <v>0</v>
      </c>
      <c r="T918" s="100">
        <v>0</v>
      </c>
      <c r="U918" s="100">
        <v>3.7823823617596733E+18</v>
      </c>
      <c r="V918" s="100"/>
    </row>
    <row r="919" spans="4:22" ht="15" customHeight="1">
      <c r="D919" s="98" t="b">
        <v>0</v>
      </c>
      <c r="E919" s="93">
        <v>0</v>
      </c>
      <c r="F919" s="91">
        <v>3</v>
      </c>
      <c r="G919" s="91" t="s">
        <v>74</v>
      </c>
      <c r="H919" s="92">
        <v>21</v>
      </c>
      <c r="I919" s="92">
        <v>0</v>
      </c>
      <c r="J919" s="92">
        <v>0</v>
      </c>
      <c r="K919" s="92">
        <v>8.6624999999999996</v>
      </c>
      <c r="L919" s="92" t="s">
        <v>75</v>
      </c>
      <c r="M919" s="92" t="s">
        <v>76</v>
      </c>
      <c r="N919" s="92" t="s">
        <v>77</v>
      </c>
      <c r="O919" s="92" t="b">
        <v>1</v>
      </c>
      <c r="P919" s="92"/>
      <c r="Q919" s="92" t="s">
        <v>79</v>
      </c>
      <c r="R919" s="92" t="s">
        <v>80</v>
      </c>
      <c r="S919" s="92" t="b">
        <v>1</v>
      </c>
      <c r="T919" s="100">
        <v>1</v>
      </c>
      <c r="U919" s="100">
        <v>8.5778200794505318E+18</v>
      </c>
      <c r="V919" s="100"/>
    </row>
    <row r="920" spans="4:22" ht="15" customHeight="1">
      <c r="D920" s="98" t="b">
        <v>0</v>
      </c>
      <c r="E920" s="93">
        <v>0</v>
      </c>
      <c r="F920" s="91">
        <v>3</v>
      </c>
      <c r="G920" s="91" t="s">
        <v>74</v>
      </c>
      <c r="H920" s="92"/>
      <c r="I920" s="92">
        <v>0</v>
      </c>
      <c r="J920" s="92">
        <v>0</v>
      </c>
      <c r="K920" s="92">
        <v>8.0500000000000007</v>
      </c>
      <c r="L920" s="92" t="s">
        <v>75</v>
      </c>
      <c r="M920" s="92" t="s">
        <v>76</v>
      </c>
      <c r="N920" s="92" t="s">
        <v>77</v>
      </c>
      <c r="O920" s="92" t="b">
        <v>1</v>
      </c>
      <c r="P920" s="92"/>
      <c r="Q920" s="92" t="s">
        <v>79</v>
      </c>
      <c r="R920" s="92" t="s">
        <v>80</v>
      </c>
      <c r="S920" s="92" t="b">
        <v>1</v>
      </c>
      <c r="T920" s="100">
        <v>1</v>
      </c>
      <c r="U920" s="100">
        <v>1.036563458869572E+19</v>
      </c>
      <c r="V920" s="100"/>
    </row>
    <row r="921" spans="4:22" ht="15" customHeight="1">
      <c r="D921" s="98" t="b">
        <v>0</v>
      </c>
      <c r="E921" s="93">
        <v>1</v>
      </c>
      <c r="F921" s="91">
        <v>3</v>
      </c>
      <c r="G921" s="91" t="s">
        <v>74</v>
      </c>
      <c r="H921" s="92">
        <v>32</v>
      </c>
      <c r="I921" s="92">
        <v>0</v>
      </c>
      <c r="J921" s="92">
        <v>0</v>
      </c>
      <c r="K921" s="92">
        <v>56.495800000000003</v>
      </c>
      <c r="L921" s="92" t="s">
        <v>75</v>
      </c>
      <c r="M921" s="92" t="s">
        <v>76</v>
      </c>
      <c r="N921" s="92" t="s">
        <v>77</v>
      </c>
      <c r="O921" s="92" t="b">
        <v>1</v>
      </c>
      <c r="P921" s="92"/>
      <c r="Q921" s="92" t="s">
        <v>79</v>
      </c>
      <c r="R921" s="92" t="s">
        <v>85</v>
      </c>
      <c r="S921" s="92" t="b">
        <v>1</v>
      </c>
      <c r="T921" s="100">
        <v>1</v>
      </c>
      <c r="U921" s="100">
        <v>4.5033545377636659E+18</v>
      </c>
      <c r="V921" s="100"/>
    </row>
    <row r="922" spans="4:22" ht="15" customHeight="1">
      <c r="D922" s="98" t="b">
        <v>0</v>
      </c>
      <c r="E922" s="93">
        <v>1</v>
      </c>
      <c r="F922" s="91">
        <v>1</v>
      </c>
      <c r="G922" s="91" t="s">
        <v>74</v>
      </c>
      <c r="H922" s="92"/>
      <c r="I922" s="92">
        <v>0</v>
      </c>
      <c r="J922" s="92">
        <v>0</v>
      </c>
      <c r="K922" s="92">
        <v>29.7</v>
      </c>
      <c r="L922" s="92" t="s">
        <v>78</v>
      </c>
      <c r="M922" s="92" t="s">
        <v>82</v>
      </c>
      <c r="N922" s="92" t="s">
        <v>77</v>
      </c>
      <c r="O922" s="92" t="b">
        <v>1</v>
      </c>
      <c r="P922" s="92" t="s">
        <v>78</v>
      </c>
      <c r="Q922" s="92" t="s">
        <v>84</v>
      </c>
      <c r="R922" s="92" t="s">
        <v>85</v>
      </c>
      <c r="S922" s="92" t="b">
        <v>1</v>
      </c>
      <c r="T922" s="100">
        <v>1</v>
      </c>
      <c r="U922" s="100">
        <v>7.7205334364026662E+17</v>
      </c>
      <c r="V922" s="100"/>
    </row>
    <row r="923" spans="4:22" ht="15" customHeight="1">
      <c r="D923" s="98" t="b">
        <v>0</v>
      </c>
      <c r="E923" s="93">
        <v>0</v>
      </c>
      <c r="F923" s="91">
        <v>3</v>
      </c>
      <c r="G923" s="91" t="s">
        <v>74</v>
      </c>
      <c r="H923" s="92">
        <v>20</v>
      </c>
      <c r="I923" s="92">
        <v>0</v>
      </c>
      <c r="J923" s="92">
        <v>0</v>
      </c>
      <c r="K923" s="92">
        <v>7.9249999999999998</v>
      </c>
      <c r="L923" s="92" t="s">
        <v>75</v>
      </c>
      <c r="M923" s="92" t="s">
        <v>76</v>
      </c>
      <c r="N923" s="92" t="s">
        <v>77</v>
      </c>
      <c r="O923" s="92" t="b">
        <v>1</v>
      </c>
      <c r="P923" s="92"/>
      <c r="Q923" s="92" t="s">
        <v>79</v>
      </c>
      <c r="R923" s="92" t="s">
        <v>80</v>
      </c>
      <c r="S923" s="92" t="b">
        <v>1</v>
      </c>
      <c r="T923" s="100">
        <v>1</v>
      </c>
      <c r="U923" s="100">
        <v>1.4309147603590388E+19</v>
      </c>
      <c r="V923" s="100"/>
    </row>
    <row r="924" spans="4:22" ht="15" customHeight="1">
      <c r="D924" s="98" t="b">
        <v>0</v>
      </c>
      <c r="E924" s="93">
        <v>0</v>
      </c>
      <c r="F924" s="91">
        <v>2</v>
      </c>
      <c r="G924" s="91" t="s">
        <v>74</v>
      </c>
      <c r="H924" s="92">
        <v>16</v>
      </c>
      <c r="I924" s="92">
        <v>0</v>
      </c>
      <c r="J924" s="92">
        <v>0</v>
      </c>
      <c r="K924" s="92">
        <v>10.5</v>
      </c>
      <c r="L924" s="92" t="s">
        <v>75</v>
      </c>
      <c r="M924" s="92" t="s">
        <v>90</v>
      </c>
      <c r="N924" s="92" t="s">
        <v>77</v>
      </c>
      <c r="O924" s="92" t="b">
        <v>1</v>
      </c>
      <c r="P924" s="92"/>
      <c r="Q924" s="92" t="s">
        <v>79</v>
      </c>
      <c r="R924" s="92" t="s">
        <v>80</v>
      </c>
      <c r="S924" s="92" t="b">
        <v>1</v>
      </c>
      <c r="T924" s="100">
        <v>1</v>
      </c>
      <c r="U924" s="100">
        <v>8.449692659642711E+18</v>
      </c>
      <c r="V924" s="100"/>
    </row>
    <row r="925" spans="4:22" ht="15" customHeight="1">
      <c r="D925" s="98" t="b">
        <v>0</v>
      </c>
      <c r="E925" s="93">
        <v>1</v>
      </c>
      <c r="F925" s="91">
        <v>1</v>
      </c>
      <c r="G925" s="91" t="s">
        <v>81</v>
      </c>
      <c r="H925" s="92">
        <v>30</v>
      </c>
      <c r="I925" s="92">
        <v>0</v>
      </c>
      <c r="J925" s="92">
        <v>0</v>
      </c>
      <c r="K925" s="92">
        <v>31</v>
      </c>
      <c r="L925" s="92" t="s">
        <v>78</v>
      </c>
      <c r="M925" s="92" t="s">
        <v>82</v>
      </c>
      <c r="N925" s="92" t="s">
        <v>83</v>
      </c>
      <c r="O925" s="92" t="b">
        <v>0</v>
      </c>
      <c r="P925" s="92"/>
      <c r="Q925" s="92" t="s">
        <v>84</v>
      </c>
      <c r="R925" s="92" t="s">
        <v>85</v>
      </c>
      <c r="S925" s="92" t="b">
        <v>1</v>
      </c>
      <c r="T925" s="100">
        <v>1</v>
      </c>
      <c r="U925" s="100">
        <v>9.0126317792176671E+18</v>
      </c>
      <c r="V925" s="100"/>
    </row>
    <row r="926" spans="4:22" ht="15" customHeight="1">
      <c r="D926" s="98" t="b">
        <v>0</v>
      </c>
      <c r="E926" s="93">
        <v>0</v>
      </c>
      <c r="F926" s="91">
        <v>3</v>
      </c>
      <c r="G926" s="91" t="s">
        <v>74</v>
      </c>
      <c r="H926" s="92">
        <v>17</v>
      </c>
      <c r="I926" s="92">
        <v>0</v>
      </c>
      <c r="J926" s="92">
        <v>0</v>
      </c>
      <c r="K926" s="92">
        <v>8.6624999999999996</v>
      </c>
      <c r="L926" s="92" t="s">
        <v>75</v>
      </c>
      <c r="M926" s="92" t="s">
        <v>76</v>
      </c>
      <c r="N926" s="92" t="s">
        <v>77</v>
      </c>
      <c r="O926" s="92" t="b">
        <v>1</v>
      </c>
      <c r="P926" s="92"/>
      <c r="Q926" s="92" t="s">
        <v>79</v>
      </c>
      <c r="R926" s="92" t="s">
        <v>80</v>
      </c>
      <c r="S926" s="92" t="b">
        <v>1</v>
      </c>
      <c r="T926" s="100">
        <v>1</v>
      </c>
      <c r="U926" s="100">
        <v>3.5012485002319247E+18</v>
      </c>
      <c r="V926" s="100"/>
    </row>
    <row r="927" spans="4:22" ht="15" customHeight="1">
      <c r="D927" s="98" t="b">
        <v>0</v>
      </c>
      <c r="E927" s="93">
        <v>0</v>
      </c>
      <c r="F927" s="91">
        <v>3</v>
      </c>
      <c r="G927" s="91" t="s">
        <v>74</v>
      </c>
      <c r="H927" s="92">
        <v>42</v>
      </c>
      <c r="I927" s="92">
        <v>0</v>
      </c>
      <c r="J927" s="92">
        <v>0</v>
      </c>
      <c r="K927" s="92">
        <v>7.55</v>
      </c>
      <c r="L927" s="92" t="s">
        <v>75</v>
      </c>
      <c r="M927" s="92" t="s">
        <v>76</v>
      </c>
      <c r="N927" s="92" t="s">
        <v>77</v>
      </c>
      <c r="O927" s="92" t="b">
        <v>1</v>
      </c>
      <c r="P927" s="92"/>
      <c r="Q927" s="92" t="s">
        <v>79</v>
      </c>
      <c r="R927" s="92" t="s">
        <v>80</v>
      </c>
      <c r="S927" s="92" t="b">
        <v>1</v>
      </c>
      <c r="T927" s="100">
        <v>1</v>
      </c>
      <c r="U927" s="100">
        <v>2.4251037741119616E+18</v>
      </c>
      <c r="V927" s="100"/>
    </row>
    <row r="928" spans="4:22" ht="15" customHeight="1">
      <c r="D928" s="98" t="b">
        <v>0</v>
      </c>
      <c r="E928" s="93">
        <v>0</v>
      </c>
      <c r="F928" s="91">
        <v>3</v>
      </c>
      <c r="G928" s="91" t="s">
        <v>74</v>
      </c>
      <c r="H928" s="92"/>
      <c r="I928" s="92">
        <v>8</v>
      </c>
      <c r="J928" s="92">
        <v>2</v>
      </c>
      <c r="K928" s="92">
        <v>69.55</v>
      </c>
      <c r="L928" s="92" t="s">
        <v>75</v>
      </c>
      <c r="M928" s="92" t="s">
        <v>76</v>
      </c>
      <c r="N928" s="92" t="s">
        <v>77</v>
      </c>
      <c r="O928" s="92" t="b">
        <v>1</v>
      </c>
      <c r="P928" s="92"/>
      <c r="Q928" s="92" t="s">
        <v>79</v>
      </c>
      <c r="R928" s="92" t="s">
        <v>80</v>
      </c>
      <c r="S928" s="92" t="b">
        <v>0</v>
      </c>
      <c r="T928" s="100">
        <v>1</v>
      </c>
      <c r="U928" s="100">
        <v>1.4267608982933174E+18</v>
      </c>
      <c r="V928" s="100"/>
    </row>
    <row r="929" spans="4:22" ht="15" customHeight="1">
      <c r="D929" s="98" t="b">
        <v>0</v>
      </c>
      <c r="E929" s="93">
        <v>0</v>
      </c>
      <c r="F929" s="91">
        <v>3</v>
      </c>
      <c r="G929" s="91" t="s">
        <v>74</v>
      </c>
      <c r="H929" s="92">
        <v>35</v>
      </c>
      <c r="I929" s="92">
        <v>0</v>
      </c>
      <c r="J929" s="92">
        <v>0</v>
      </c>
      <c r="K929" s="92">
        <v>7.8958000000000004</v>
      </c>
      <c r="L929" s="92" t="s">
        <v>78</v>
      </c>
      <c r="M929" s="92" t="s">
        <v>76</v>
      </c>
      <c r="N929" s="92" t="s">
        <v>77</v>
      </c>
      <c r="O929" s="92" t="b">
        <v>1</v>
      </c>
      <c r="P929" s="92"/>
      <c r="Q929" s="92" t="s">
        <v>84</v>
      </c>
      <c r="R929" s="92" t="s">
        <v>80</v>
      </c>
      <c r="S929" s="92" t="b">
        <v>1</v>
      </c>
      <c r="T929" s="100">
        <v>1</v>
      </c>
      <c r="U929" s="100">
        <v>9.8829178553421148E+18</v>
      </c>
      <c r="V929" s="100"/>
    </row>
    <row r="930" spans="4:22" ht="15" customHeight="1">
      <c r="D930" s="98" t="b">
        <v>0</v>
      </c>
      <c r="E930" s="93">
        <v>0</v>
      </c>
      <c r="F930" s="91">
        <v>2</v>
      </c>
      <c r="G930" s="91" t="s">
        <v>74</v>
      </c>
      <c r="H930" s="92">
        <v>28</v>
      </c>
      <c r="I930" s="92">
        <v>0</v>
      </c>
      <c r="J930" s="92">
        <v>1</v>
      </c>
      <c r="K930" s="92">
        <v>33</v>
      </c>
      <c r="L930" s="92" t="s">
        <v>75</v>
      </c>
      <c r="M930" s="92" t="s">
        <v>90</v>
      </c>
      <c r="N930" s="92" t="s">
        <v>77</v>
      </c>
      <c r="O930" s="92" t="b">
        <v>1</v>
      </c>
      <c r="P930" s="92"/>
      <c r="Q930" s="92" t="s">
        <v>79</v>
      </c>
      <c r="R930" s="92" t="s">
        <v>80</v>
      </c>
      <c r="S930" s="92" t="b">
        <v>0</v>
      </c>
      <c r="T930" s="100">
        <v>1</v>
      </c>
      <c r="U930" s="100">
        <v>7.2259378499220224E+18</v>
      </c>
      <c r="V930" s="100"/>
    </row>
    <row r="931" spans="4:22" ht="15" customHeight="1">
      <c r="D931" s="98" t="b">
        <v>0</v>
      </c>
      <c r="E931" s="93">
        <v>1</v>
      </c>
      <c r="F931" s="91">
        <v>1</v>
      </c>
      <c r="G931" s="91" t="s">
        <v>81</v>
      </c>
      <c r="H931" s="92"/>
      <c r="I931" s="92">
        <v>1</v>
      </c>
      <c r="J931" s="92">
        <v>0</v>
      </c>
      <c r="K931" s="92">
        <v>89.104200000000006</v>
      </c>
      <c r="L931" s="92" t="s">
        <v>78</v>
      </c>
      <c r="M931" s="92" t="s">
        <v>82</v>
      </c>
      <c r="N931" s="92" t="s">
        <v>83</v>
      </c>
      <c r="O931" s="92" t="b">
        <v>0</v>
      </c>
      <c r="P931" s="92" t="s">
        <v>78</v>
      </c>
      <c r="Q931" s="92" t="s">
        <v>84</v>
      </c>
      <c r="R931" s="92" t="s">
        <v>85</v>
      </c>
      <c r="S931" s="92" t="b">
        <v>0</v>
      </c>
      <c r="T931" s="100">
        <v>1</v>
      </c>
      <c r="U931" s="100">
        <v>1.6635294836196522E+19</v>
      </c>
      <c r="V931" s="100"/>
    </row>
    <row r="932" spans="4:22" ht="15" customHeight="1">
      <c r="D932" s="98" t="b">
        <v>0</v>
      </c>
      <c r="E932" s="93">
        <v>0</v>
      </c>
      <c r="F932" s="91">
        <v>3</v>
      </c>
      <c r="G932" s="91" t="s">
        <v>74</v>
      </c>
      <c r="H932" s="92">
        <v>4</v>
      </c>
      <c r="I932" s="92">
        <v>4</v>
      </c>
      <c r="J932" s="92">
        <v>2</v>
      </c>
      <c r="K932" s="92">
        <v>31.274999999999999</v>
      </c>
      <c r="L932" s="92" t="s">
        <v>75</v>
      </c>
      <c r="M932" s="92" t="s">
        <v>76</v>
      </c>
      <c r="N932" s="92" t="s">
        <v>89</v>
      </c>
      <c r="O932" s="92" t="b">
        <v>0</v>
      </c>
      <c r="P932" s="92"/>
      <c r="Q932" s="92" t="s">
        <v>79</v>
      </c>
      <c r="R932" s="92" t="s">
        <v>80</v>
      </c>
      <c r="S932" s="92" t="b">
        <v>0</v>
      </c>
      <c r="T932" s="100">
        <v>1</v>
      </c>
      <c r="U932" s="100">
        <v>1.4539858297148291E+19</v>
      </c>
      <c r="V932" s="100"/>
    </row>
    <row r="933" spans="4:22" ht="15" customHeight="1">
      <c r="D933" s="98" t="b">
        <v>0</v>
      </c>
      <c r="E933" s="93">
        <v>0</v>
      </c>
      <c r="F933" s="91">
        <v>3</v>
      </c>
      <c r="G933" s="91" t="s">
        <v>74</v>
      </c>
      <c r="H933" s="92">
        <v>74</v>
      </c>
      <c r="I933" s="92">
        <v>0</v>
      </c>
      <c r="J933" s="92">
        <v>0</v>
      </c>
      <c r="K933" s="92">
        <v>7.7750000000000004</v>
      </c>
      <c r="L933" s="92" t="s">
        <v>75</v>
      </c>
      <c r="M933" s="92" t="s">
        <v>76</v>
      </c>
      <c r="N933" s="92" t="s">
        <v>77</v>
      </c>
      <c r="O933" s="92" t="b">
        <v>1</v>
      </c>
      <c r="P933" s="92"/>
      <c r="Q933" s="92" t="s">
        <v>79</v>
      </c>
      <c r="R933" s="92" t="s">
        <v>80</v>
      </c>
      <c r="S933" s="92" t="b">
        <v>1</v>
      </c>
      <c r="T933" s="100">
        <v>1</v>
      </c>
      <c r="U933" s="100">
        <v>1.2730405023723508E+19</v>
      </c>
      <c r="V933" s="100"/>
    </row>
    <row r="934" spans="4:22" ht="15" customHeight="1">
      <c r="D934" s="98" t="b">
        <v>0</v>
      </c>
      <c r="E934" s="93">
        <v>0</v>
      </c>
      <c r="F934" s="91">
        <v>3</v>
      </c>
      <c r="G934" s="91" t="s">
        <v>81</v>
      </c>
      <c r="H934" s="92">
        <v>9</v>
      </c>
      <c r="I934" s="92">
        <v>1</v>
      </c>
      <c r="J934" s="92">
        <v>1</v>
      </c>
      <c r="K934" s="92">
        <v>15.245799999999999</v>
      </c>
      <c r="L934" s="92" t="s">
        <v>78</v>
      </c>
      <c r="M934" s="92" t="s">
        <v>76</v>
      </c>
      <c r="N934" s="92" t="s">
        <v>89</v>
      </c>
      <c r="O934" s="92" t="b">
        <v>0</v>
      </c>
      <c r="P934" s="92"/>
      <c r="Q934" s="92" t="s">
        <v>84</v>
      </c>
      <c r="R934" s="92" t="s">
        <v>80</v>
      </c>
      <c r="S934" s="92" t="b">
        <v>0</v>
      </c>
      <c r="T934" s="100">
        <v>1</v>
      </c>
      <c r="U934" s="100">
        <v>5.7077757657835786E+18</v>
      </c>
      <c r="V934" s="100"/>
    </row>
    <row r="935" spans="4:22" ht="15" customHeight="1">
      <c r="D935" s="98" t="b">
        <v>0</v>
      </c>
      <c r="E935" s="93">
        <v>1</v>
      </c>
      <c r="F935" s="91">
        <v>1</v>
      </c>
      <c r="G935" s="91" t="s">
        <v>81</v>
      </c>
      <c r="H935" s="92">
        <v>16</v>
      </c>
      <c r="I935" s="92">
        <v>0</v>
      </c>
      <c r="J935" s="92">
        <v>1</v>
      </c>
      <c r="K935" s="92">
        <v>39.4</v>
      </c>
      <c r="L935" s="92" t="s">
        <v>75</v>
      </c>
      <c r="M935" s="92" t="s">
        <v>82</v>
      </c>
      <c r="N935" s="92" t="s">
        <v>83</v>
      </c>
      <c r="O935" s="92" t="b">
        <v>0</v>
      </c>
      <c r="P935" s="92" t="s">
        <v>92</v>
      </c>
      <c r="Q935" s="92" t="s">
        <v>79</v>
      </c>
      <c r="R935" s="92" t="s">
        <v>85</v>
      </c>
      <c r="S935" s="92" t="b">
        <v>0</v>
      </c>
      <c r="T935" s="100">
        <v>0</v>
      </c>
      <c r="U935" s="100">
        <v>1.5727506580073722E+19</v>
      </c>
      <c r="V935" s="100"/>
    </row>
    <row r="936" spans="4:22" ht="15" customHeight="1">
      <c r="D936" s="98" t="b">
        <v>0</v>
      </c>
      <c r="E936" s="93">
        <v>0</v>
      </c>
      <c r="F936" s="91">
        <v>2</v>
      </c>
      <c r="G936" s="91" t="s">
        <v>81</v>
      </c>
      <c r="H936" s="92">
        <v>44</v>
      </c>
      <c r="I936" s="92">
        <v>1</v>
      </c>
      <c r="J936" s="92">
        <v>0</v>
      </c>
      <c r="K936" s="92">
        <v>26</v>
      </c>
      <c r="L936" s="92" t="s">
        <v>75</v>
      </c>
      <c r="M936" s="92" t="s">
        <v>90</v>
      </c>
      <c r="N936" s="92" t="s">
        <v>83</v>
      </c>
      <c r="O936" s="92" t="b">
        <v>0</v>
      </c>
      <c r="P936" s="92"/>
      <c r="Q936" s="92" t="s">
        <v>79</v>
      </c>
      <c r="R936" s="92" t="s">
        <v>80</v>
      </c>
      <c r="S936" s="92" t="b">
        <v>0</v>
      </c>
      <c r="T936" s="100">
        <v>1</v>
      </c>
      <c r="U936" s="100">
        <v>6.0950037410352128E+17</v>
      </c>
      <c r="V936" s="100"/>
    </row>
    <row r="937" spans="4:22" ht="15" customHeight="1">
      <c r="D937" s="98" t="b">
        <v>0</v>
      </c>
      <c r="E937" s="93">
        <v>1</v>
      </c>
      <c r="F937" s="91">
        <v>3</v>
      </c>
      <c r="G937" s="91" t="s">
        <v>81</v>
      </c>
      <c r="H937" s="92">
        <v>18</v>
      </c>
      <c r="I937" s="92">
        <v>0</v>
      </c>
      <c r="J937" s="92">
        <v>1</v>
      </c>
      <c r="K937" s="92">
        <v>9.35</v>
      </c>
      <c r="L937" s="92" t="s">
        <v>75</v>
      </c>
      <c r="M937" s="92" t="s">
        <v>76</v>
      </c>
      <c r="N937" s="92" t="s">
        <v>83</v>
      </c>
      <c r="O937" s="92" t="b">
        <v>0</v>
      </c>
      <c r="P937" s="92"/>
      <c r="Q937" s="92" t="s">
        <v>79</v>
      </c>
      <c r="R937" s="92" t="s">
        <v>85</v>
      </c>
      <c r="S937" s="92" t="b">
        <v>0</v>
      </c>
      <c r="T937" s="100">
        <v>1</v>
      </c>
      <c r="U937" s="100">
        <v>2.9086829203322225E+18</v>
      </c>
      <c r="V937" s="100"/>
    </row>
    <row r="938" spans="4:22" ht="15" customHeight="1">
      <c r="D938" s="98" t="b">
        <v>0</v>
      </c>
      <c r="E938" s="93">
        <v>1</v>
      </c>
      <c r="F938" s="91">
        <v>1</v>
      </c>
      <c r="G938" s="91" t="s">
        <v>81</v>
      </c>
      <c r="H938" s="92">
        <v>45</v>
      </c>
      <c r="I938" s="92">
        <v>1</v>
      </c>
      <c r="J938" s="92">
        <v>1</v>
      </c>
      <c r="K938" s="92">
        <v>164.86670000000001</v>
      </c>
      <c r="L938" s="92" t="s">
        <v>75</v>
      </c>
      <c r="M938" s="92" t="s">
        <v>82</v>
      </c>
      <c r="N938" s="92" t="s">
        <v>83</v>
      </c>
      <c r="O938" s="92" t="b">
        <v>0</v>
      </c>
      <c r="P938" s="92"/>
      <c r="Q938" s="92" t="s">
        <v>79</v>
      </c>
      <c r="R938" s="92" t="s">
        <v>85</v>
      </c>
      <c r="S938" s="92" t="b">
        <v>0</v>
      </c>
      <c r="T938" s="100">
        <v>1</v>
      </c>
      <c r="U938" s="100">
        <v>2.5622885783201111E+18</v>
      </c>
      <c r="V938" s="100"/>
    </row>
    <row r="939" spans="4:22" ht="15" customHeight="1">
      <c r="D939" s="98" t="b">
        <v>0</v>
      </c>
      <c r="E939" s="93">
        <v>1</v>
      </c>
      <c r="F939" s="91">
        <v>1</v>
      </c>
      <c r="G939" s="91" t="s">
        <v>74</v>
      </c>
      <c r="H939" s="92">
        <v>51</v>
      </c>
      <c r="I939" s="92">
        <v>0</v>
      </c>
      <c r="J939" s="92">
        <v>0</v>
      </c>
      <c r="K939" s="92">
        <v>26.55</v>
      </c>
      <c r="L939" s="92" t="s">
        <v>75</v>
      </c>
      <c r="M939" s="92" t="s">
        <v>82</v>
      </c>
      <c r="N939" s="92" t="s">
        <v>77</v>
      </c>
      <c r="O939" s="92" t="b">
        <v>1</v>
      </c>
      <c r="P939" s="92" t="s">
        <v>88</v>
      </c>
      <c r="Q939" s="92" t="s">
        <v>79</v>
      </c>
      <c r="R939" s="92" t="s">
        <v>85</v>
      </c>
      <c r="S939" s="92" t="b">
        <v>1</v>
      </c>
      <c r="T939" s="100">
        <v>0</v>
      </c>
      <c r="U939" s="100">
        <v>1.216081372586121E+19</v>
      </c>
      <c r="V939" s="100"/>
    </row>
    <row r="940" spans="4:22" ht="15" customHeight="1">
      <c r="D940" s="98" t="b">
        <v>0</v>
      </c>
      <c r="E940" s="93">
        <v>1</v>
      </c>
      <c r="F940" s="91">
        <v>3</v>
      </c>
      <c r="G940" s="91" t="s">
        <v>81</v>
      </c>
      <c r="H940" s="92">
        <v>24</v>
      </c>
      <c r="I940" s="92">
        <v>0</v>
      </c>
      <c r="J940" s="92">
        <v>3</v>
      </c>
      <c r="K940" s="92">
        <v>19.258299999999998</v>
      </c>
      <c r="L940" s="92" t="s">
        <v>78</v>
      </c>
      <c r="M940" s="92" t="s">
        <v>76</v>
      </c>
      <c r="N940" s="92" t="s">
        <v>83</v>
      </c>
      <c r="O940" s="92" t="b">
        <v>0</v>
      </c>
      <c r="P940" s="92"/>
      <c r="Q940" s="92" t="s">
        <v>84</v>
      </c>
      <c r="R940" s="92" t="s">
        <v>85</v>
      </c>
      <c r="S940" s="92" t="b">
        <v>0</v>
      </c>
      <c r="T940" s="100">
        <v>1</v>
      </c>
      <c r="U940" s="100">
        <v>4.5322468698757366E+18</v>
      </c>
      <c r="V940" s="100"/>
    </row>
    <row r="941" spans="4:22" ht="15" customHeight="1">
      <c r="D941" s="98" t="b">
        <v>0</v>
      </c>
      <c r="E941" s="93">
        <v>0</v>
      </c>
      <c r="F941" s="91">
        <v>3</v>
      </c>
      <c r="G941" s="91" t="s">
        <v>74</v>
      </c>
      <c r="H941" s="92"/>
      <c r="I941" s="92">
        <v>0</v>
      </c>
      <c r="J941" s="92">
        <v>0</v>
      </c>
      <c r="K941" s="92">
        <v>7.2291999999999996</v>
      </c>
      <c r="L941" s="92" t="s">
        <v>78</v>
      </c>
      <c r="M941" s="92" t="s">
        <v>76</v>
      </c>
      <c r="N941" s="92" t="s">
        <v>77</v>
      </c>
      <c r="O941" s="92" t="b">
        <v>1</v>
      </c>
      <c r="P941" s="92"/>
      <c r="Q941" s="92" t="s">
        <v>84</v>
      </c>
      <c r="R941" s="92" t="s">
        <v>80</v>
      </c>
      <c r="S941" s="92" t="b">
        <v>1</v>
      </c>
      <c r="T941" s="100">
        <v>1</v>
      </c>
      <c r="U941" s="100">
        <v>4.8387927669229558E+18</v>
      </c>
      <c r="V941" s="100"/>
    </row>
    <row r="942" spans="4:22" ht="15" customHeight="1">
      <c r="D942" s="98" t="b">
        <v>0</v>
      </c>
      <c r="E942" s="93">
        <v>0</v>
      </c>
      <c r="F942" s="91">
        <v>3</v>
      </c>
      <c r="G942" s="91" t="s">
        <v>74</v>
      </c>
      <c r="H942" s="92">
        <v>41</v>
      </c>
      <c r="I942" s="92">
        <v>2</v>
      </c>
      <c r="J942" s="92">
        <v>0</v>
      </c>
      <c r="K942" s="92">
        <v>14.1083</v>
      </c>
      <c r="L942" s="92" t="s">
        <v>75</v>
      </c>
      <c r="M942" s="92" t="s">
        <v>76</v>
      </c>
      <c r="N942" s="92" t="s">
        <v>77</v>
      </c>
      <c r="O942" s="92" t="b">
        <v>1</v>
      </c>
      <c r="P942" s="92"/>
      <c r="Q942" s="92" t="s">
        <v>79</v>
      </c>
      <c r="R942" s="92" t="s">
        <v>80</v>
      </c>
      <c r="S942" s="92" t="b">
        <v>0</v>
      </c>
      <c r="T942" s="100">
        <v>1</v>
      </c>
      <c r="U942" s="100">
        <v>9.5402042272955814E+17</v>
      </c>
      <c r="V942" s="100"/>
    </row>
    <row r="943" spans="4:22" ht="15" customHeight="1">
      <c r="D943" s="98" t="b">
        <v>0</v>
      </c>
      <c r="E943" s="93">
        <v>0</v>
      </c>
      <c r="F943" s="91">
        <v>2</v>
      </c>
      <c r="G943" s="91" t="s">
        <v>74</v>
      </c>
      <c r="H943" s="92">
        <v>21</v>
      </c>
      <c r="I943" s="92">
        <v>1</v>
      </c>
      <c r="J943" s="92">
        <v>0</v>
      </c>
      <c r="K943" s="92">
        <v>11.5</v>
      </c>
      <c r="L943" s="92" t="s">
        <v>75</v>
      </c>
      <c r="M943" s="92" t="s">
        <v>90</v>
      </c>
      <c r="N943" s="92" t="s">
        <v>77</v>
      </c>
      <c r="O943" s="92" t="b">
        <v>1</v>
      </c>
      <c r="P943" s="92"/>
      <c r="Q943" s="92" t="s">
        <v>79</v>
      </c>
      <c r="R943" s="92" t="s">
        <v>80</v>
      </c>
      <c r="S943" s="92" t="b">
        <v>0</v>
      </c>
      <c r="T943" s="100">
        <v>1</v>
      </c>
      <c r="U943" s="100">
        <v>1.691659363012915E+19</v>
      </c>
      <c r="V943" s="100"/>
    </row>
    <row r="944" spans="4:22" ht="15" customHeight="1">
      <c r="D944" s="98" t="b">
        <v>0</v>
      </c>
      <c r="E944" s="93">
        <v>1</v>
      </c>
      <c r="F944" s="91">
        <v>1</v>
      </c>
      <c r="G944" s="91" t="s">
        <v>81</v>
      </c>
      <c r="H944" s="92">
        <v>48</v>
      </c>
      <c r="I944" s="92">
        <v>0</v>
      </c>
      <c r="J944" s="92">
        <v>0</v>
      </c>
      <c r="K944" s="92">
        <v>25.929200000000002</v>
      </c>
      <c r="L944" s="92" t="s">
        <v>75</v>
      </c>
      <c r="M944" s="92" t="s">
        <v>82</v>
      </c>
      <c r="N944" s="92" t="s">
        <v>83</v>
      </c>
      <c r="O944" s="92" t="b">
        <v>0</v>
      </c>
      <c r="P944" s="92" t="s">
        <v>92</v>
      </c>
      <c r="Q944" s="92" t="s">
        <v>79</v>
      </c>
      <c r="R944" s="92" t="s">
        <v>85</v>
      </c>
      <c r="S944" s="92" t="b">
        <v>1</v>
      </c>
      <c r="T944" s="100">
        <v>0</v>
      </c>
      <c r="U944" s="100">
        <v>1.2144598070631901E+19</v>
      </c>
      <c r="V944" s="100"/>
    </row>
    <row r="945" spans="4:22" ht="15" customHeight="1">
      <c r="D945" s="98" t="b">
        <v>0</v>
      </c>
      <c r="E945" s="93">
        <v>0</v>
      </c>
      <c r="F945" s="91">
        <v>3</v>
      </c>
      <c r="G945" s="91" t="s">
        <v>81</v>
      </c>
      <c r="H945" s="92"/>
      <c r="I945" s="92">
        <v>8</v>
      </c>
      <c r="J945" s="92">
        <v>2</v>
      </c>
      <c r="K945" s="92">
        <v>69.55</v>
      </c>
      <c r="L945" s="92" t="s">
        <v>75</v>
      </c>
      <c r="M945" s="92" t="s">
        <v>76</v>
      </c>
      <c r="N945" s="92" t="s">
        <v>83</v>
      </c>
      <c r="O945" s="92" t="b">
        <v>0</v>
      </c>
      <c r="P945" s="92"/>
      <c r="Q945" s="92" t="s">
        <v>79</v>
      </c>
      <c r="R945" s="92" t="s">
        <v>80</v>
      </c>
      <c r="S945" s="92" t="b">
        <v>0</v>
      </c>
      <c r="T945" s="100">
        <v>1</v>
      </c>
      <c r="U945" s="100">
        <v>1.7786801565664006E+19</v>
      </c>
      <c r="V945" s="100"/>
    </row>
    <row r="946" spans="4:22" ht="15" customHeight="1">
      <c r="D946" s="98" t="b">
        <v>0</v>
      </c>
      <c r="E946" s="93">
        <v>0</v>
      </c>
      <c r="F946" s="91">
        <v>2</v>
      </c>
      <c r="G946" s="91" t="s">
        <v>74</v>
      </c>
      <c r="H946" s="92">
        <v>24</v>
      </c>
      <c r="I946" s="92">
        <v>0</v>
      </c>
      <c r="J946" s="92">
        <v>0</v>
      </c>
      <c r="K946" s="92">
        <v>13</v>
      </c>
      <c r="L946" s="92" t="s">
        <v>75</v>
      </c>
      <c r="M946" s="92" t="s">
        <v>90</v>
      </c>
      <c r="N946" s="92" t="s">
        <v>77</v>
      </c>
      <c r="O946" s="92" t="b">
        <v>1</v>
      </c>
      <c r="P946" s="92"/>
      <c r="Q946" s="92" t="s">
        <v>79</v>
      </c>
      <c r="R946" s="92" t="s">
        <v>80</v>
      </c>
      <c r="S946" s="92" t="b">
        <v>1</v>
      </c>
      <c r="T946" s="100">
        <v>1</v>
      </c>
      <c r="U946" s="100">
        <v>1.7495463902610061E+19</v>
      </c>
      <c r="V946" s="100"/>
    </row>
    <row r="947" spans="4:22" ht="15" customHeight="1">
      <c r="D947" s="98" t="b">
        <v>0</v>
      </c>
      <c r="E947" s="93">
        <v>1</v>
      </c>
      <c r="F947" s="91">
        <v>2</v>
      </c>
      <c r="G947" s="91" t="s">
        <v>81</v>
      </c>
      <c r="H947" s="92">
        <v>42</v>
      </c>
      <c r="I947" s="92">
        <v>0</v>
      </c>
      <c r="J947" s="92">
        <v>0</v>
      </c>
      <c r="K947" s="92">
        <v>13</v>
      </c>
      <c r="L947" s="92" t="s">
        <v>75</v>
      </c>
      <c r="M947" s="92" t="s">
        <v>90</v>
      </c>
      <c r="N947" s="92" t="s">
        <v>83</v>
      </c>
      <c r="O947" s="92" t="b">
        <v>0</v>
      </c>
      <c r="P947" s="92"/>
      <c r="Q947" s="92" t="s">
        <v>79</v>
      </c>
      <c r="R947" s="92" t="s">
        <v>85</v>
      </c>
      <c r="S947" s="92" t="b">
        <v>1</v>
      </c>
      <c r="T947" s="100">
        <v>1</v>
      </c>
      <c r="U947" s="100">
        <v>1.6904099510821504E+18</v>
      </c>
      <c r="V947" s="100"/>
    </row>
    <row r="948" spans="4:22" ht="15" customHeight="1">
      <c r="D948" s="98" t="b">
        <v>0</v>
      </c>
      <c r="E948" s="93">
        <v>1</v>
      </c>
      <c r="F948" s="91">
        <v>2</v>
      </c>
      <c r="G948" s="91" t="s">
        <v>81</v>
      </c>
      <c r="H948" s="92">
        <v>27</v>
      </c>
      <c r="I948" s="92">
        <v>1</v>
      </c>
      <c r="J948" s="92">
        <v>0</v>
      </c>
      <c r="K948" s="92">
        <v>13.8583</v>
      </c>
      <c r="L948" s="92" t="s">
        <v>78</v>
      </c>
      <c r="M948" s="92" t="s">
        <v>90</v>
      </c>
      <c r="N948" s="92" t="s">
        <v>83</v>
      </c>
      <c r="O948" s="92" t="b">
        <v>0</v>
      </c>
      <c r="P948" s="92"/>
      <c r="Q948" s="92" t="s">
        <v>84</v>
      </c>
      <c r="R948" s="92" t="s">
        <v>85</v>
      </c>
      <c r="S948" s="92" t="b">
        <v>0</v>
      </c>
      <c r="T948" s="100">
        <v>1</v>
      </c>
      <c r="U948" s="100">
        <v>7.5133680704563446E+18</v>
      </c>
      <c r="V948" s="100"/>
    </row>
    <row r="949" spans="4:22" ht="15" customHeight="1">
      <c r="D949" s="98" t="b">
        <v>0</v>
      </c>
      <c r="E949" s="93">
        <v>0</v>
      </c>
      <c r="F949" s="91">
        <v>1</v>
      </c>
      <c r="G949" s="91" t="s">
        <v>74</v>
      </c>
      <c r="H949" s="92">
        <v>31</v>
      </c>
      <c r="I949" s="92">
        <v>0</v>
      </c>
      <c r="J949" s="92">
        <v>0</v>
      </c>
      <c r="K949" s="92">
        <v>50.495800000000003</v>
      </c>
      <c r="L949" s="92" t="s">
        <v>75</v>
      </c>
      <c r="M949" s="92" t="s">
        <v>82</v>
      </c>
      <c r="N949" s="92" t="s">
        <v>77</v>
      </c>
      <c r="O949" s="92" t="b">
        <v>1</v>
      </c>
      <c r="P949" s="92" t="s">
        <v>93</v>
      </c>
      <c r="Q949" s="92" t="s">
        <v>79</v>
      </c>
      <c r="R949" s="92" t="s">
        <v>80</v>
      </c>
      <c r="S949" s="92" t="b">
        <v>1</v>
      </c>
      <c r="T949" s="100">
        <v>0</v>
      </c>
      <c r="U949" s="100">
        <v>1.3339906270960749E+19</v>
      </c>
      <c r="V949" s="100"/>
    </row>
    <row r="950" spans="4:22" ht="15" customHeight="1">
      <c r="D950" s="98" t="b">
        <v>0</v>
      </c>
      <c r="E950" s="93">
        <v>0</v>
      </c>
      <c r="F950" s="91">
        <v>3</v>
      </c>
      <c r="G950" s="91" t="s">
        <v>74</v>
      </c>
      <c r="H950" s="92"/>
      <c r="I950" s="92">
        <v>0</v>
      </c>
      <c r="J950" s="92">
        <v>0</v>
      </c>
      <c r="K950" s="92">
        <v>9.5</v>
      </c>
      <c r="L950" s="92" t="s">
        <v>75</v>
      </c>
      <c r="M950" s="92" t="s">
        <v>76</v>
      </c>
      <c r="N950" s="92" t="s">
        <v>77</v>
      </c>
      <c r="O950" s="92" t="b">
        <v>1</v>
      </c>
      <c r="P950" s="92"/>
      <c r="Q950" s="92" t="s">
        <v>79</v>
      </c>
      <c r="R950" s="92" t="s">
        <v>80</v>
      </c>
      <c r="S950" s="92" t="b">
        <v>1</v>
      </c>
      <c r="T950" s="100">
        <v>1</v>
      </c>
      <c r="U950" s="100">
        <v>1.6985232503138036E+19</v>
      </c>
      <c r="V950" s="100"/>
    </row>
    <row r="951" spans="4:22" ht="15" customHeight="1">
      <c r="D951" s="98" t="b">
        <v>0</v>
      </c>
      <c r="E951" s="93">
        <v>1</v>
      </c>
      <c r="F951" s="91">
        <v>3</v>
      </c>
      <c r="G951" s="91" t="s">
        <v>74</v>
      </c>
      <c r="H951" s="92">
        <v>4</v>
      </c>
      <c r="I951" s="92">
        <v>1</v>
      </c>
      <c r="J951" s="92">
        <v>1</v>
      </c>
      <c r="K951" s="92">
        <v>11.1333</v>
      </c>
      <c r="L951" s="92" t="s">
        <v>75</v>
      </c>
      <c r="M951" s="92" t="s">
        <v>76</v>
      </c>
      <c r="N951" s="92" t="s">
        <v>89</v>
      </c>
      <c r="O951" s="92" t="b">
        <v>0</v>
      </c>
      <c r="P951" s="92"/>
      <c r="Q951" s="92" t="s">
        <v>79</v>
      </c>
      <c r="R951" s="92" t="s">
        <v>85</v>
      </c>
      <c r="S951" s="92" t="b">
        <v>0</v>
      </c>
      <c r="T951" s="100">
        <v>1</v>
      </c>
      <c r="U951" s="100">
        <v>1.115228393787844E+19</v>
      </c>
      <c r="V951" s="100"/>
    </row>
    <row r="952" spans="4:22" ht="15" customHeight="1">
      <c r="D952" s="98" t="b">
        <v>0</v>
      </c>
      <c r="E952" s="93">
        <v>0</v>
      </c>
      <c r="F952" s="91">
        <v>3</v>
      </c>
      <c r="G952" s="91" t="s">
        <v>74</v>
      </c>
      <c r="H952" s="92">
        <v>26</v>
      </c>
      <c r="I952" s="92">
        <v>0</v>
      </c>
      <c r="J952" s="92">
        <v>0</v>
      </c>
      <c r="K952" s="92">
        <v>7.8958000000000004</v>
      </c>
      <c r="L952" s="92" t="s">
        <v>75</v>
      </c>
      <c r="M952" s="92" t="s">
        <v>76</v>
      </c>
      <c r="N952" s="92" t="s">
        <v>77</v>
      </c>
      <c r="O952" s="92" t="b">
        <v>1</v>
      </c>
      <c r="P952" s="92"/>
      <c r="Q952" s="92" t="s">
        <v>79</v>
      </c>
      <c r="R952" s="92" t="s">
        <v>80</v>
      </c>
      <c r="S952" s="92" t="b">
        <v>1</v>
      </c>
      <c r="T952" s="100">
        <v>1</v>
      </c>
      <c r="U952" s="100">
        <v>1.2442408463558474E+19</v>
      </c>
      <c r="V952" s="100"/>
    </row>
    <row r="953" spans="4:22" ht="15" customHeight="1">
      <c r="D953" s="98" t="b">
        <v>0</v>
      </c>
      <c r="E953" s="93">
        <v>1</v>
      </c>
      <c r="F953" s="91">
        <v>1</v>
      </c>
      <c r="G953" s="91" t="s">
        <v>81</v>
      </c>
      <c r="H953" s="92">
        <v>47</v>
      </c>
      <c r="I953" s="92">
        <v>1</v>
      </c>
      <c r="J953" s="92">
        <v>1</v>
      </c>
      <c r="K953" s="92">
        <v>52.554200000000002</v>
      </c>
      <c r="L953" s="92" t="s">
        <v>75</v>
      </c>
      <c r="M953" s="92" t="s">
        <v>82</v>
      </c>
      <c r="N953" s="92" t="s">
        <v>83</v>
      </c>
      <c r="O953" s="92" t="b">
        <v>0</v>
      </c>
      <c r="P953" s="92" t="s">
        <v>92</v>
      </c>
      <c r="Q953" s="92" t="s">
        <v>79</v>
      </c>
      <c r="R953" s="92" t="s">
        <v>85</v>
      </c>
      <c r="S953" s="92" t="b">
        <v>0</v>
      </c>
      <c r="T953" s="100">
        <v>0</v>
      </c>
      <c r="U953" s="100">
        <v>6.1986404347573975E+18</v>
      </c>
      <c r="V953" s="100"/>
    </row>
    <row r="954" spans="4:22" ht="15" customHeight="1">
      <c r="D954" s="98" t="b">
        <v>0</v>
      </c>
      <c r="E954" s="93">
        <v>0</v>
      </c>
      <c r="F954" s="91">
        <v>1</v>
      </c>
      <c r="G954" s="91" t="s">
        <v>74</v>
      </c>
      <c r="H954" s="92">
        <v>33</v>
      </c>
      <c r="I954" s="92">
        <v>0</v>
      </c>
      <c r="J954" s="92">
        <v>0</v>
      </c>
      <c r="K954" s="92">
        <v>5</v>
      </c>
      <c r="L954" s="92" t="s">
        <v>75</v>
      </c>
      <c r="M954" s="92" t="s">
        <v>82</v>
      </c>
      <c r="N954" s="92" t="s">
        <v>77</v>
      </c>
      <c r="O954" s="92" t="b">
        <v>1</v>
      </c>
      <c r="P954" s="92" t="s">
        <v>94</v>
      </c>
      <c r="Q954" s="92" t="s">
        <v>79</v>
      </c>
      <c r="R954" s="92" t="s">
        <v>80</v>
      </c>
      <c r="S954" s="92" t="b">
        <v>1</v>
      </c>
      <c r="T954" s="100">
        <v>0</v>
      </c>
      <c r="U954" s="100">
        <v>8.8113139050634598E+18</v>
      </c>
      <c r="V954" s="100"/>
    </row>
    <row r="955" spans="4:22" ht="15" customHeight="1">
      <c r="D955" s="98" t="b">
        <v>0</v>
      </c>
      <c r="E955" s="93">
        <v>0</v>
      </c>
      <c r="F955" s="91">
        <v>3</v>
      </c>
      <c r="G955" s="91" t="s">
        <v>74</v>
      </c>
      <c r="H955" s="92">
        <v>47</v>
      </c>
      <c r="I955" s="92">
        <v>0</v>
      </c>
      <c r="J955" s="92">
        <v>0</v>
      </c>
      <c r="K955" s="92">
        <v>9</v>
      </c>
      <c r="L955" s="92" t="s">
        <v>75</v>
      </c>
      <c r="M955" s="92" t="s">
        <v>76</v>
      </c>
      <c r="N955" s="92" t="s">
        <v>77</v>
      </c>
      <c r="O955" s="92" t="b">
        <v>1</v>
      </c>
      <c r="P955" s="92"/>
      <c r="Q955" s="92" t="s">
        <v>79</v>
      </c>
      <c r="R955" s="92" t="s">
        <v>80</v>
      </c>
      <c r="S955" s="92" t="b">
        <v>1</v>
      </c>
      <c r="T955" s="100">
        <v>1</v>
      </c>
      <c r="U955" s="100">
        <v>9.1739734746714993E+18</v>
      </c>
      <c r="V955" s="100"/>
    </row>
    <row r="956" spans="4:22" ht="15" customHeight="1">
      <c r="D956" s="98" t="b">
        <v>0</v>
      </c>
      <c r="E956" s="93">
        <v>1</v>
      </c>
      <c r="F956" s="91">
        <v>2</v>
      </c>
      <c r="G956" s="91" t="s">
        <v>81</v>
      </c>
      <c r="H956" s="92">
        <v>28</v>
      </c>
      <c r="I956" s="92">
        <v>1</v>
      </c>
      <c r="J956" s="92">
        <v>0</v>
      </c>
      <c r="K956" s="92">
        <v>24</v>
      </c>
      <c r="L956" s="92" t="s">
        <v>78</v>
      </c>
      <c r="M956" s="92" t="s">
        <v>90</v>
      </c>
      <c r="N956" s="92" t="s">
        <v>83</v>
      </c>
      <c r="O956" s="92" t="b">
        <v>0</v>
      </c>
      <c r="P956" s="92"/>
      <c r="Q956" s="92" t="s">
        <v>84</v>
      </c>
      <c r="R956" s="92" t="s">
        <v>85</v>
      </c>
      <c r="S956" s="92" t="b">
        <v>0</v>
      </c>
      <c r="T956" s="100">
        <v>1</v>
      </c>
      <c r="U956" s="100">
        <v>1.589753164524425E+19</v>
      </c>
      <c r="V956" s="100"/>
    </row>
    <row r="957" spans="4:22" ht="15" customHeight="1">
      <c r="D957" s="98" t="b">
        <v>0</v>
      </c>
      <c r="E957" s="93">
        <v>1</v>
      </c>
      <c r="F957" s="91">
        <v>3</v>
      </c>
      <c r="G957" s="91" t="s">
        <v>81</v>
      </c>
      <c r="H957" s="92">
        <v>15</v>
      </c>
      <c r="I957" s="92">
        <v>0</v>
      </c>
      <c r="J957" s="92">
        <v>0</v>
      </c>
      <c r="K957" s="92">
        <v>7.2249999999999996</v>
      </c>
      <c r="L957" s="92" t="s">
        <v>78</v>
      </c>
      <c r="M957" s="92" t="s">
        <v>76</v>
      </c>
      <c r="N957" s="92" t="s">
        <v>89</v>
      </c>
      <c r="O957" s="92" t="b">
        <v>0</v>
      </c>
      <c r="P957" s="92"/>
      <c r="Q957" s="92" t="s">
        <v>84</v>
      </c>
      <c r="R957" s="92" t="s">
        <v>85</v>
      </c>
      <c r="S957" s="92" t="b">
        <v>1</v>
      </c>
      <c r="T957" s="100">
        <v>1</v>
      </c>
      <c r="U957" s="100">
        <v>1.3687475684889407E+19</v>
      </c>
      <c r="V957" s="100"/>
    </row>
    <row r="958" spans="4:22" ht="15" customHeight="1">
      <c r="D958" s="98" t="b">
        <v>0</v>
      </c>
      <c r="E958" s="93">
        <v>0</v>
      </c>
      <c r="F958" s="91">
        <v>3</v>
      </c>
      <c r="G958" s="91" t="s">
        <v>74</v>
      </c>
      <c r="H958" s="92">
        <v>20</v>
      </c>
      <c r="I958" s="92">
        <v>0</v>
      </c>
      <c r="J958" s="92">
        <v>0</v>
      </c>
      <c r="K958" s="92">
        <v>9.8458000000000006</v>
      </c>
      <c r="L958" s="92" t="s">
        <v>75</v>
      </c>
      <c r="M958" s="92" t="s">
        <v>76</v>
      </c>
      <c r="N958" s="92" t="s">
        <v>77</v>
      </c>
      <c r="O958" s="92" t="b">
        <v>1</v>
      </c>
      <c r="P958" s="92"/>
      <c r="Q958" s="92" t="s">
        <v>79</v>
      </c>
      <c r="R958" s="92" t="s">
        <v>80</v>
      </c>
      <c r="S958" s="92" t="b">
        <v>1</v>
      </c>
      <c r="T958" s="100">
        <v>1</v>
      </c>
      <c r="U958" s="100">
        <v>5.2422441312238582E+18</v>
      </c>
      <c r="V958" s="100"/>
    </row>
    <row r="959" spans="4:22" ht="15" customHeight="1">
      <c r="D959" s="98" t="b">
        <v>0</v>
      </c>
      <c r="E959" s="93">
        <v>0</v>
      </c>
      <c r="F959" s="91">
        <v>3</v>
      </c>
      <c r="G959" s="91" t="s">
        <v>74</v>
      </c>
      <c r="H959" s="92">
        <v>19</v>
      </c>
      <c r="I959" s="92">
        <v>0</v>
      </c>
      <c r="J959" s="92">
        <v>0</v>
      </c>
      <c r="K959" s="92">
        <v>7.8958000000000004</v>
      </c>
      <c r="L959" s="92" t="s">
        <v>75</v>
      </c>
      <c r="M959" s="92" t="s">
        <v>76</v>
      </c>
      <c r="N959" s="92" t="s">
        <v>77</v>
      </c>
      <c r="O959" s="92" t="b">
        <v>1</v>
      </c>
      <c r="P959" s="92"/>
      <c r="Q959" s="92" t="s">
        <v>79</v>
      </c>
      <c r="R959" s="92" t="s">
        <v>80</v>
      </c>
      <c r="S959" s="92" t="b">
        <v>1</v>
      </c>
      <c r="T959" s="100">
        <v>1</v>
      </c>
      <c r="U959" s="100">
        <v>1.1941823310480474E+19</v>
      </c>
      <c r="V959" s="100"/>
    </row>
    <row r="960" spans="4:22" ht="15" customHeight="1">
      <c r="D960" s="98" t="b">
        <v>0</v>
      </c>
      <c r="E960" s="93">
        <v>0</v>
      </c>
      <c r="F960" s="91">
        <v>3</v>
      </c>
      <c r="G960" s="91" t="s">
        <v>74</v>
      </c>
      <c r="H960" s="92"/>
      <c r="I960" s="92">
        <v>0</v>
      </c>
      <c r="J960" s="92">
        <v>0</v>
      </c>
      <c r="K960" s="92">
        <v>7.8958000000000004</v>
      </c>
      <c r="L960" s="92" t="s">
        <v>75</v>
      </c>
      <c r="M960" s="92" t="s">
        <v>76</v>
      </c>
      <c r="N960" s="92" t="s">
        <v>77</v>
      </c>
      <c r="O960" s="92" t="b">
        <v>1</v>
      </c>
      <c r="P960" s="92"/>
      <c r="Q960" s="92" t="s">
        <v>79</v>
      </c>
      <c r="R960" s="92" t="s">
        <v>80</v>
      </c>
      <c r="S960" s="92" t="b">
        <v>1</v>
      </c>
      <c r="T960" s="100">
        <v>1</v>
      </c>
      <c r="U960" s="100">
        <v>9.9740171854948762E+18</v>
      </c>
      <c r="V960" s="100"/>
    </row>
    <row r="961" spans="4:22" ht="15" customHeight="1">
      <c r="D961" s="98" t="b">
        <v>0</v>
      </c>
      <c r="E961" s="93">
        <v>1</v>
      </c>
      <c r="F961" s="91">
        <v>1</v>
      </c>
      <c r="G961" s="91" t="s">
        <v>81</v>
      </c>
      <c r="H961" s="92">
        <v>56</v>
      </c>
      <c r="I961" s="92">
        <v>0</v>
      </c>
      <c r="J961" s="92">
        <v>1</v>
      </c>
      <c r="K961" s="92">
        <v>83.158299999999997</v>
      </c>
      <c r="L961" s="92" t="s">
        <v>78</v>
      </c>
      <c r="M961" s="92" t="s">
        <v>82</v>
      </c>
      <c r="N961" s="92" t="s">
        <v>83</v>
      </c>
      <c r="O961" s="92" t="b">
        <v>0</v>
      </c>
      <c r="P961" s="92" t="s">
        <v>78</v>
      </c>
      <c r="Q961" s="92" t="s">
        <v>84</v>
      </c>
      <c r="R961" s="92" t="s">
        <v>85</v>
      </c>
      <c r="S961" s="92" t="b">
        <v>0</v>
      </c>
      <c r="T961" s="100">
        <v>0</v>
      </c>
      <c r="U961" s="100">
        <v>9.5320641891974226E+18</v>
      </c>
      <c r="V961" s="100"/>
    </row>
    <row r="962" spans="4:22" ht="15" customHeight="1">
      <c r="D962" s="98" t="b">
        <v>0</v>
      </c>
      <c r="E962" s="93">
        <v>1</v>
      </c>
      <c r="F962" s="91">
        <v>2</v>
      </c>
      <c r="G962" s="91" t="s">
        <v>81</v>
      </c>
      <c r="H962" s="92">
        <v>25</v>
      </c>
      <c r="I962" s="92">
        <v>0</v>
      </c>
      <c r="J962" s="92">
        <v>1</v>
      </c>
      <c r="K962" s="92">
        <v>26</v>
      </c>
      <c r="L962" s="92" t="s">
        <v>75</v>
      </c>
      <c r="M962" s="92" t="s">
        <v>90</v>
      </c>
      <c r="N962" s="92" t="s">
        <v>83</v>
      </c>
      <c r="O962" s="92" t="b">
        <v>0</v>
      </c>
      <c r="P962" s="92"/>
      <c r="Q962" s="92" t="s">
        <v>79</v>
      </c>
      <c r="R962" s="92" t="s">
        <v>85</v>
      </c>
      <c r="S962" s="92" t="b">
        <v>0</v>
      </c>
      <c r="T962" s="100">
        <v>1</v>
      </c>
      <c r="U962" s="100">
        <v>2.0290053340405555E+18</v>
      </c>
      <c r="V962" s="100"/>
    </row>
    <row r="963" spans="4:22" ht="15" customHeight="1">
      <c r="D963" s="98" t="b">
        <v>0</v>
      </c>
      <c r="E963" s="93">
        <v>0</v>
      </c>
      <c r="F963" s="91">
        <v>3</v>
      </c>
      <c r="G963" s="91" t="s">
        <v>74</v>
      </c>
      <c r="H963" s="92">
        <v>33</v>
      </c>
      <c r="I963" s="92">
        <v>0</v>
      </c>
      <c r="J963" s="92">
        <v>0</v>
      </c>
      <c r="K963" s="92">
        <v>7.8958000000000004</v>
      </c>
      <c r="L963" s="92" t="s">
        <v>75</v>
      </c>
      <c r="M963" s="92" t="s">
        <v>76</v>
      </c>
      <c r="N963" s="92" t="s">
        <v>77</v>
      </c>
      <c r="O963" s="92" t="b">
        <v>1</v>
      </c>
      <c r="P963" s="92"/>
      <c r="Q963" s="92" t="s">
        <v>79</v>
      </c>
      <c r="R963" s="92" t="s">
        <v>80</v>
      </c>
      <c r="S963" s="92" t="b">
        <v>1</v>
      </c>
      <c r="T963" s="100">
        <v>1</v>
      </c>
      <c r="U963" s="100">
        <v>1.6588244944163127E+19</v>
      </c>
      <c r="V963" s="100"/>
    </row>
    <row r="964" spans="4:22" ht="15" customHeight="1">
      <c r="D964" s="98" t="b">
        <v>0</v>
      </c>
      <c r="E964" s="93">
        <v>0</v>
      </c>
      <c r="F964" s="91">
        <v>3</v>
      </c>
      <c r="G964" s="91" t="s">
        <v>81</v>
      </c>
      <c r="H964" s="92">
        <v>22</v>
      </c>
      <c r="I964" s="92">
        <v>0</v>
      </c>
      <c r="J964" s="92">
        <v>0</v>
      </c>
      <c r="K964" s="92">
        <v>10.5167</v>
      </c>
      <c r="L964" s="92" t="s">
        <v>75</v>
      </c>
      <c r="M964" s="92" t="s">
        <v>76</v>
      </c>
      <c r="N964" s="92" t="s">
        <v>83</v>
      </c>
      <c r="O964" s="92" t="b">
        <v>0</v>
      </c>
      <c r="P964" s="92"/>
      <c r="Q964" s="92" t="s">
        <v>79</v>
      </c>
      <c r="R964" s="92" t="s">
        <v>80</v>
      </c>
      <c r="S964" s="92" t="b">
        <v>1</v>
      </c>
      <c r="T964" s="100">
        <v>1</v>
      </c>
      <c r="U964" s="100">
        <v>1.1991506357535736E+19</v>
      </c>
      <c r="V964" s="100"/>
    </row>
    <row r="965" spans="4:22" ht="15" customHeight="1">
      <c r="D965" s="98" t="b">
        <v>0</v>
      </c>
      <c r="E965" s="93">
        <v>0</v>
      </c>
      <c r="F965" s="91">
        <v>2</v>
      </c>
      <c r="G965" s="91" t="s">
        <v>74</v>
      </c>
      <c r="H965" s="92">
        <v>28</v>
      </c>
      <c r="I965" s="92">
        <v>0</v>
      </c>
      <c r="J965" s="92">
        <v>0</v>
      </c>
      <c r="K965" s="92">
        <v>10.5</v>
      </c>
      <c r="L965" s="92" t="s">
        <v>75</v>
      </c>
      <c r="M965" s="92" t="s">
        <v>90</v>
      </c>
      <c r="N965" s="92" t="s">
        <v>77</v>
      </c>
      <c r="O965" s="92" t="b">
        <v>1</v>
      </c>
      <c r="P965" s="92"/>
      <c r="Q965" s="92" t="s">
        <v>79</v>
      </c>
      <c r="R965" s="92" t="s">
        <v>80</v>
      </c>
      <c r="S965" s="92" t="b">
        <v>1</v>
      </c>
      <c r="T965" s="100">
        <v>1</v>
      </c>
      <c r="U965" s="100">
        <v>6.3589185568022917E+18</v>
      </c>
      <c r="V965" s="100"/>
    </row>
    <row r="966" spans="4:22" ht="15" customHeight="1">
      <c r="D966" s="98" t="b">
        <v>0</v>
      </c>
      <c r="E966" s="93">
        <v>0</v>
      </c>
      <c r="F966" s="91">
        <v>3</v>
      </c>
      <c r="G966" s="91" t="s">
        <v>74</v>
      </c>
      <c r="H966" s="92">
        <v>25</v>
      </c>
      <c r="I966" s="92">
        <v>0</v>
      </c>
      <c r="J966" s="92">
        <v>0</v>
      </c>
      <c r="K966" s="92">
        <v>7.05</v>
      </c>
      <c r="L966" s="92" t="s">
        <v>75</v>
      </c>
      <c r="M966" s="92" t="s">
        <v>76</v>
      </c>
      <c r="N966" s="92" t="s">
        <v>77</v>
      </c>
      <c r="O966" s="92" t="b">
        <v>1</v>
      </c>
      <c r="P966" s="92"/>
      <c r="Q966" s="92" t="s">
        <v>79</v>
      </c>
      <c r="R966" s="92" t="s">
        <v>80</v>
      </c>
      <c r="S966" s="92" t="b">
        <v>1</v>
      </c>
      <c r="T966" s="100">
        <v>1</v>
      </c>
      <c r="U966" s="100">
        <v>1.5616974188912612E+18</v>
      </c>
      <c r="V966" s="100"/>
    </row>
    <row r="967" spans="4:22" ht="15" customHeight="1">
      <c r="D967" s="98" t="b">
        <v>0</v>
      </c>
      <c r="E967" s="93">
        <v>0</v>
      </c>
      <c r="F967" s="91">
        <v>3</v>
      </c>
      <c r="G967" s="91" t="s">
        <v>81</v>
      </c>
      <c r="H967" s="92">
        <v>39</v>
      </c>
      <c r="I967" s="92">
        <v>0</v>
      </c>
      <c r="J967" s="92">
        <v>5</v>
      </c>
      <c r="K967" s="92">
        <v>29.125</v>
      </c>
      <c r="L967" s="92" t="s">
        <v>86</v>
      </c>
      <c r="M967" s="92" t="s">
        <v>76</v>
      </c>
      <c r="N967" s="92" t="s">
        <v>83</v>
      </c>
      <c r="O967" s="92" t="b">
        <v>0</v>
      </c>
      <c r="P967" s="92"/>
      <c r="Q967" s="92" t="s">
        <v>87</v>
      </c>
      <c r="R967" s="92" t="s">
        <v>80</v>
      </c>
      <c r="S967" s="92" t="b">
        <v>0</v>
      </c>
      <c r="T967" s="100">
        <v>1</v>
      </c>
      <c r="U967" s="100">
        <v>1.3227178656306207E+19</v>
      </c>
      <c r="V967" s="100"/>
    </row>
    <row r="968" spans="4:22" ht="15" customHeight="1">
      <c r="D968" s="98" t="b">
        <v>0</v>
      </c>
      <c r="E968" s="93">
        <v>0</v>
      </c>
      <c r="F968" s="91">
        <v>2</v>
      </c>
      <c r="G968" s="91" t="s">
        <v>74</v>
      </c>
      <c r="H968" s="92">
        <v>27</v>
      </c>
      <c r="I968" s="92">
        <v>0</v>
      </c>
      <c r="J968" s="92">
        <v>0</v>
      </c>
      <c r="K968" s="92">
        <v>13</v>
      </c>
      <c r="L968" s="92" t="s">
        <v>75</v>
      </c>
      <c r="M968" s="92" t="s">
        <v>90</v>
      </c>
      <c r="N968" s="92" t="s">
        <v>77</v>
      </c>
      <c r="O968" s="92" t="b">
        <v>1</v>
      </c>
      <c r="P968" s="92"/>
      <c r="Q968" s="92" t="s">
        <v>79</v>
      </c>
      <c r="R968" s="92" t="s">
        <v>80</v>
      </c>
      <c r="S968" s="92" t="b">
        <v>1</v>
      </c>
      <c r="T968" s="100">
        <v>1</v>
      </c>
      <c r="U968" s="100">
        <v>1.1128273356353381E+18</v>
      </c>
      <c r="V968" s="100"/>
    </row>
    <row r="969" spans="4:22" ht="15" customHeight="1">
      <c r="D969" s="98" t="b">
        <v>0</v>
      </c>
      <c r="E969" s="93">
        <v>1</v>
      </c>
      <c r="F969" s="91">
        <v>1</v>
      </c>
      <c r="G969" s="91" t="s">
        <v>81</v>
      </c>
      <c r="H969" s="92">
        <v>19</v>
      </c>
      <c r="I969" s="92">
        <v>0</v>
      </c>
      <c r="J969" s="92">
        <v>0</v>
      </c>
      <c r="K969" s="92">
        <v>30</v>
      </c>
      <c r="L969" s="92" t="s">
        <v>75</v>
      </c>
      <c r="M969" s="92" t="s">
        <v>82</v>
      </c>
      <c r="N969" s="92" t="s">
        <v>83</v>
      </c>
      <c r="O969" s="92" t="b">
        <v>0</v>
      </c>
      <c r="P969" s="92" t="s">
        <v>94</v>
      </c>
      <c r="Q969" s="92" t="s">
        <v>79</v>
      </c>
      <c r="R969" s="92" t="s">
        <v>85</v>
      </c>
      <c r="S969" s="92" t="b">
        <v>1</v>
      </c>
      <c r="T969" s="100">
        <v>0</v>
      </c>
      <c r="U969" s="100">
        <v>6.682721721040683E+18</v>
      </c>
      <c r="V969" s="100"/>
    </row>
    <row r="970" spans="4:22" ht="15" customHeight="1">
      <c r="D970" s="98" t="b">
        <v>0</v>
      </c>
      <c r="E970" s="93">
        <v>0</v>
      </c>
      <c r="F970" s="91">
        <v>3</v>
      </c>
      <c r="G970" s="91" t="s">
        <v>81</v>
      </c>
      <c r="H970" s="92"/>
      <c r="I970" s="92">
        <v>1</v>
      </c>
      <c r="J970" s="92">
        <v>2</v>
      </c>
      <c r="K970" s="92">
        <v>23.45</v>
      </c>
      <c r="L970" s="92" t="s">
        <v>75</v>
      </c>
      <c r="M970" s="92" t="s">
        <v>76</v>
      </c>
      <c r="N970" s="92" t="s">
        <v>83</v>
      </c>
      <c r="O970" s="92" t="b">
        <v>0</v>
      </c>
      <c r="P970" s="92"/>
      <c r="Q970" s="92" t="s">
        <v>79</v>
      </c>
      <c r="R970" s="92" t="s">
        <v>80</v>
      </c>
      <c r="S970" s="92" t="b">
        <v>0</v>
      </c>
      <c r="T970" s="100">
        <v>1</v>
      </c>
      <c r="U970" s="100">
        <v>5.8693137521606369E+18</v>
      </c>
      <c r="V970" s="100"/>
    </row>
    <row r="971" spans="4:22" ht="15" customHeight="1">
      <c r="D971" s="98" t="b">
        <v>0</v>
      </c>
      <c r="E971" s="93">
        <v>1</v>
      </c>
      <c r="F971" s="91">
        <v>1</v>
      </c>
      <c r="G971" s="91" t="s">
        <v>74</v>
      </c>
      <c r="H971" s="92">
        <v>26</v>
      </c>
      <c r="I971" s="92">
        <v>0</v>
      </c>
      <c r="J971" s="92">
        <v>0</v>
      </c>
      <c r="K971" s="92">
        <v>30</v>
      </c>
      <c r="L971" s="92" t="s">
        <v>78</v>
      </c>
      <c r="M971" s="92" t="s">
        <v>82</v>
      </c>
      <c r="N971" s="92" t="s">
        <v>77</v>
      </c>
      <c r="O971" s="92" t="b">
        <v>1</v>
      </c>
      <c r="P971" s="92" t="s">
        <v>78</v>
      </c>
      <c r="Q971" s="92" t="s">
        <v>84</v>
      </c>
      <c r="R971" s="92" t="s">
        <v>85</v>
      </c>
      <c r="S971" s="92" t="b">
        <v>1</v>
      </c>
      <c r="T971" s="100">
        <v>0</v>
      </c>
      <c r="U971" s="100">
        <v>7.0339224239870843E+18</v>
      </c>
      <c r="V971" s="100"/>
    </row>
    <row r="972" spans="4:22" ht="15" customHeight="1">
      <c r="D972" s="99" t="b">
        <v>0</v>
      </c>
      <c r="E972" s="94">
        <v>0</v>
      </c>
      <c r="F972" s="95">
        <v>3</v>
      </c>
      <c r="G972" s="95" t="s">
        <v>74</v>
      </c>
      <c r="H972" s="92">
        <v>32</v>
      </c>
      <c r="I972" s="92">
        <v>0</v>
      </c>
      <c r="J972" s="92">
        <v>0</v>
      </c>
      <c r="K972" s="92">
        <v>7.75</v>
      </c>
      <c r="L972" s="92" t="s">
        <v>86</v>
      </c>
      <c r="M972" s="92" t="s">
        <v>76</v>
      </c>
      <c r="N972" s="92" t="s">
        <v>77</v>
      </c>
      <c r="O972" s="92" t="b">
        <v>1</v>
      </c>
      <c r="P972" s="92"/>
      <c r="Q972" s="92" t="s">
        <v>87</v>
      </c>
      <c r="R972" s="92" t="s">
        <v>80</v>
      </c>
      <c r="S972" s="92" t="b">
        <v>1</v>
      </c>
      <c r="T972" s="100">
        <v>1</v>
      </c>
      <c r="U972" s="100">
        <v>5.0795249017960899E+18</v>
      </c>
      <c r="V972" s="100"/>
    </row>
  </sheetData>
  <mergeCells count="1">
    <mergeCell ref="E15:F15"/>
  </mergeCells>
  <phoneticPr fontId="21" type="noConversion"/>
  <conditionalFormatting sqref="D81 D60:D67">
    <cfRule type="duplicateValues" dxfId="7" priority="16"/>
  </conditionalFormatting>
  <conditionalFormatting sqref="D82:D972">
    <cfRule type="cellIs" dxfId="6" priority="21" operator="notEqual">
      <formula>FALSE</formula>
    </cfRule>
  </conditionalFormatting>
  <conditionalFormatting sqref="E15">
    <cfRule type="cellIs" dxfId="5" priority="13" operator="notEqual">
      <formula>"Description"</formula>
    </cfRule>
  </conditionalFormatting>
  <conditionalFormatting sqref="E20:E21">
    <cfRule type="colorScale" priority="4">
      <colorScale>
        <cfvo type="num" val="0"/>
        <cfvo type="num" val="0.2"/>
        <color theme="1" tint="-0.499984740745262"/>
        <color rgb="FF7A0000"/>
      </colorScale>
    </cfRule>
  </conditionalFormatting>
  <conditionalFormatting sqref="E25:G32">
    <cfRule type="cellIs" dxfId="4" priority="22" operator="equal">
      <formula>0</formula>
    </cfRule>
  </conditionalFormatting>
  <conditionalFormatting sqref="E26:G28">
    <cfRule type="colorScale" priority="17">
      <colorScale>
        <cfvo type="num" val="0"/>
        <cfvo type="num" val="0.2"/>
        <color rgb="FF000000"/>
        <color rgb="FF7A0000"/>
      </colorScale>
    </cfRule>
  </conditionalFormatting>
  <conditionalFormatting sqref="E7:S7">
    <cfRule type="cellIs" dxfId="3" priority="14" operator="notEqual">
      <formula>"Definition"</formula>
    </cfRule>
  </conditionalFormatting>
  <conditionalFormatting sqref="E9:S9">
    <cfRule type="cellIs" dxfId="2" priority="15" operator="notEqual">
      <formula>"Note"</formula>
    </cfRule>
  </conditionalFormatting>
  <conditionalFormatting sqref="E60:S67">
    <cfRule type="cellIs" dxfId="1" priority="2" operator="notEqual">
      <formula>FALSE</formula>
    </cfRule>
  </conditionalFormatting>
  <conditionalFormatting sqref="H25:S32 E38:S42 E48:S56">
    <cfRule type="cellIs" dxfId="0" priority="3" operator="equal">
      <formula>0</formula>
    </cfRule>
  </conditionalFormatting>
  <conditionalFormatting sqref="H26:S28">
    <cfRule type="colorScale" priority="1">
      <colorScale>
        <cfvo type="num" val="0"/>
        <cfvo type="num" val="0.2"/>
        <color rgb="FF000000"/>
        <color rgb="FF7A0000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489E-9BF4-4F49-A058-98DE18A18804}">
  <sheetPr codeName="Sheet7"/>
  <dimension ref="B1:Q789"/>
  <sheetViews>
    <sheetView zoomScale="85" zoomScaleNormal="85" workbookViewId="0">
      <selection activeCell="D9" sqref="D9"/>
    </sheetView>
  </sheetViews>
  <sheetFormatPr defaultRowHeight="15" customHeight="1"/>
  <cols>
    <col min="1" max="2" width="2.77734375" style="12" customWidth="1"/>
    <col min="3" max="3" width="11.109375" style="12" bestFit="1" customWidth="1"/>
    <col min="4" max="4" width="11.33203125" style="12" bestFit="1" customWidth="1"/>
    <col min="5" max="5" width="8.88671875" style="12" bestFit="1" customWidth="1"/>
    <col min="6" max="6" width="9.21875" style="12" bestFit="1" customWidth="1"/>
    <col min="7" max="7" width="10.5546875" style="12" bestFit="1" customWidth="1"/>
    <col min="8" max="8" width="11.21875" style="12" bestFit="1" customWidth="1"/>
    <col min="9" max="9" width="9.6640625" style="12" bestFit="1" customWidth="1"/>
    <col min="10" max="10" width="15.109375" style="12" bestFit="1" customWidth="1"/>
    <col min="11" max="11" width="10.21875" style="12" bestFit="1" customWidth="1"/>
    <col min="12" max="12" width="10" style="12" bestFit="1" customWidth="1"/>
    <col min="13" max="15" width="13.77734375" style="12" customWidth="1"/>
    <col min="16" max="16" width="15.44140625" style="12" customWidth="1"/>
    <col min="17" max="16384" width="8.88671875" style="12"/>
  </cols>
  <sheetData>
    <row r="1" spans="2:17" ht="14.4">
      <c r="C1" s="13"/>
      <c r="D1" s="14"/>
    </row>
    <row r="2" spans="2:17" ht="36.6">
      <c r="C2" s="15" t="str">
        <f>Name</f>
        <v>Titanic</v>
      </c>
      <c r="P2" s="11"/>
    </row>
    <row r="3" spans="2:17" ht="10.050000000000001" customHeight="1">
      <c r="D3" s="16"/>
    </row>
    <row r="4" spans="2:17" ht="30" customHeight="1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7" spans="2:17" ht="15" customHeight="1">
      <c r="C7" s="17" t="s">
        <v>96</v>
      </c>
    </row>
    <row r="8" spans="2:17" ht="36.6" customHeight="1">
      <c r="C8" s="103" t="s">
        <v>52</v>
      </c>
      <c r="D8" s="102" t="s">
        <v>53</v>
      </c>
      <c r="E8" s="102" t="s">
        <v>54</v>
      </c>
      <c r="F8" s="102" t="s">
        <v>55</v>
      </c>
      <c r="G8" s="102" t="s">
        <v>56</v>
      </c>
      <c r="H8" s="102" t="s">
        <v>57</v>
      </c>
      <c r="I8" s="102" t="s">
        <v>58</v>
      </c>
      <c r="J8" s="102" t="s">
        <v>59</v>
      </c>
      <c r="K8" s="102" t="s">
        <v>60</v>
      </c>
      <c r="L8" s="102" t="s">
        <v>61</v>
      </c>
      <c r="M8" s="104" t="s">
        <v>42</v>
      </c>
      <c r="N8" s="104" t="s">
        <v>43</v>
      </c>
      <c r="O8" s="104" t="s">
        <v>46</v>
      </c>
    </row>
    <row r="9" spans="2:17" ht="15" customHeight="1">
      <c r="C9" s="101">
        <v>0</v>
      </c>
      <c r="D9" s="55"/>
      <c r="E9" s="55"/>
      <c r="F9" s="55"/>
      <c r="G9" s="55"/>
      <c r="H9" s="55"/>
      <c r="I9" s="55"/>
      <c r="J9" s="55"/>
      <c r="K9" s="55"/>
      <c r="L9" s="55"/>
      <c r="M9" s="105">
        <v>0.89253187613843354</v>
      </c>
      <c r="N9" s="106">
        <v>0.69111424541607902</v>
      </c>
      <c r="O9" s="107">
        <v>0.61616161616161613</v>
      </c>
    </row>
    <row r="10" spans="2:17" ht="15" customHeight="1">
      <c r="C10" s="101">
        <v>1</v>
      </c>
      <c r="D10" s="55"/>
      <c r="E10" s="55"/>
      <c r="F10" s="55"/>
      <c r="G10" s="55"/>
      <c r="H10" s="55"/>
      <c r="I10" s="55"/>
      <c r="J10" s="55"/>
      <c r="K10" s="55"/>
      <c r="L10" s="55"/>
      <c r="M10" s="105">
        <v>0.64035087719298245</v>
      </c>
      <c r="N10" s="106">
        <v>0.30888575458392104</v>
      </c>
      <c r="O10" s="107">
        <v>0.38383838383838381</v>
      </c>
    </row>
    <row r="11" spans="2:17" ht="15" customHeight="1">
      <c r="C11" s="101" t="s">
        <v>97</v>
      </c>
      <c r="D11" s="55"/>
      <c r="E11" s="55"/>
      <c r="F11" s="55"/>
      <c r="G11" s="55"/>
      <c r="H11" s="55"/>
      <c r="I11" s="55"/>
      <c r="J11" s="55"/>
      <c r="K11" s="55"/>
      <c r="L11" s="55"/>
      <c r="M11" s="105">
        <v>0.79573512906846244</v>
      </c>
      <c r="N11" s="106">
        <v>1</v>
      </c>
      <c r="O11" s="107">
        <v>1</v>
      </c>
    </row>
    <row r="12" spans="2:17" ht="15" customHeight="1"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2:17" ht="15" customHeight="1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2:17" ht="15" customHeight="1"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2:17" ht="15" customHeight="1"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2:17" ht="15" customHeight="1"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3:15" ht="15" customHeight="1"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3:15" ht="15" customHeight="1"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3:15" ht="15" customHeight="1"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3:15" ht="15" customHeight="1"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3:15" ht="15" customHeight="1"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3:15" ht="15" customHeight="1"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3:15" ht="15" customHeight="1"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3:15" ht="15" customHeight="1"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3:15" ht="15" customHeight="1"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3:15" ht="15" customHeight="1"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3:15" ht="15" customHeight="1"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3:15" ht="15" customHeight="1"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3:15" ht="15" customHeight="1"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3:15" ht="15" customHeight="1"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3:15" ht="15" customHeight="1"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3:15" ht="15" customHeight="1"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3:15" ht="15" customHeight="1"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3:15" ht="15" customHeight="1"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3:15" ht="15" customHeight="1"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3:15" ht="15" customHeight="1"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3:15" ht="15" customHeight="1"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3:15" ht="15" customHeight="1"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3:15" ht="15" customHeight="1"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3:15" ht="15" customHeight="1"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3:15" ht="15" customHeight="1"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3:15" ht="15" customHeight="1"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3:15" ht="15" customHeight="1"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3:15" ht="15" customHeight="1"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3:15" ht="15" customHeight="1"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3:15" ht="15" customHeight="1"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3:15" ht="15" customHeight="1"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3:15" ht="15" customHeight="1"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3:15" ht="15" customHeight="1"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3:15" ht="15" customHeight="1"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3:15" ht="15" customHeight="1"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3:15" ht="15" customHeight="1"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3:15" ht="15" customHeight="1"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3:15" ht="15" customHeight="1"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3:15" ht="15" customHeight="1"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3:15" ht="15" customHeight="1"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3:15" ht="15" customHeight="1"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3:15" ht="15" customHeight="1"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3:15" ht="15" customHeight="1"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3:15" ht="15" customHeight="1"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3:15" ht="15" customHeight="1"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3:15" ht="15" customHeight="1"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3:15" ht="15" customHeight="1"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3:15" ht="15" customHeight="1"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3:15" ht="15" customHeight="1"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3:15" ht="15" customHeight="1"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3:15" ht="15" customHeight="1"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3:15" ht="15" customHeight="1"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3:15" ht="15" customHeight="1"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3:15" ht="15" customHeight="1"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3:15" ht="15" customHeight="1"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3:15" ht="15" customHeight="1"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3:15" ht="15" customHeight="1"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3:15" ht="15" customHeight="1"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3:15" ht="15" customHeight="1"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3:15" ht="15" customHeight="1"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3:15" ht="15" customHeight="1"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3:15" ht="15" customHeight="1"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3:15" ht="15" customHeight="1"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3:15" ht="15" customHeight="1"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3:15" ht="15" customHeight="1"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3:15" ht="15" customHeight="1"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3:15" ht="15" customHeight="1"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3:15" ht="15" customHeight="1"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3:15" ht="15" customHeight="1"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3:15" ht="15" customHeight="1"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3:15" ht="15" customHeight="1"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3:15" ht="15" customHeight="1"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3:15" ht="15" customHeight="1"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3:15" ht="15" customHeight="1"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3:15" ht="15" customHeight="1"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3:15" ht="15" customHeight="1"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3:15" ht="15" customHeight="1"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3:15" ht="15" customHeight="1"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3:15" ht="15" customHeight="1"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3:15" ht="15" customHeight="1"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3:15" ht="15" customHeight="1"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3:15" ht="15" customHeight="1"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3:15" ht="15" customHeight="1"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3:15" ht="15" customHeight="1"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3:15" ht="15" customHeight="1"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3:15" ht="15" customHeight="1"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3:15" ht="15" customHeight="1"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3:15" ht="15" customHeight="1"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3:15" ht="15" customHeight="1"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3:15" ht="15" customHeight="1"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3:15" ht="15" customHeight="1"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3:15" ht="15" customHeight="1"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3:15" ht="15" customHeight="1"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3:15" ht="15" customHeight="1"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3:15" ht="15" customHeight="1"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3:15" ht="15" customHeight="1"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3:15" ht="15" customHeight="1"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3:15" ht="15" customHeight="1"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3:15" ht="15" customHeight="1"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3:15" ht="15" customHeight="1"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3:15" ht="15" customHeight="1"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3:15" ht="15" customHeight="1"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3:15" ht="15" customHeight="1"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3:15" ht="15" customHeight="1"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3:15" ht="15" customHeight="1"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3:15" ht="15" customHeight="1"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3:15" ht="15" customHeight="1"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3:15" ht="15" customHeight="1"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3:15" ht="15" customHeight="1"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3:15" ht="15" customHeight="1"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3:15" ht="15" customHeight="1"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3:15" ht="15" customHeight="1"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3:15" ht="15" customHeight="1"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3:15" ht="15" customHeight="1"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3:15" ht="15" customHeight="1"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3:15" ht="15" customHeight="1"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3:15" ht="15" customHeight="1"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3:15" ht="15" customHeight="1"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3:15" ht="15" customHeight="1"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3:15" ht="15" customHeight="1"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3:15" ht="15" customHeight="1"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3:15" ht="15" customHeight="1"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3:15" ht="15" customHeight="1"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3:15" ht="15" customHeight="1"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3:15" ht="15" customHeight="1"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3:15" ht="15" customHeight="1"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3:15" ht="15" customHeight="1"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3:15" ht="15" customHeight="1"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3:15" ht="15" customHeight="1"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3:15" ht="15" customHeight="1"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3:15" ht="15" customHeight="1"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3:15" ht="15" customHeight="1"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3:15" ht="15" customHeight="1"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3:15" ht="15" customHeight="1"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3:15" ht="15" customHeight="1"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3:15" ht="15" customHeight="1"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3:15" ht="15" customHeight="1"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3:15" ht="15" customHeight="1"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3:15" ht="15" customHeight="1"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3:15" ht="15" customHeight="1"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3:15" ht="15" customHeight="1"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3:15" ht="15" customHeight="1"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3:15" ht="15" customHeight="1"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3:15" ht="15" customHeight="1"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3:15" ht="15" customHeight="1"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3:15" ht="15" customHeight="1"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3:15" ht="15" customHeight="1"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3:15" ht="15" customHeight="1"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3:15" ht="15" customHeight="1"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3:15" ht="15" customHeight="1"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3:15" ht="15" customHeight="1"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3:15" ht="15" customHeight="1"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3:15" ht="15" customHeight="1"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3:15" ht="15" customHeight="1"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3:15" ht="15" customHeight="1"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3:15" ht="15" customHeight="1"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3:15" ht="15" customHeight="1"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3:15" ht="15" customHeight="1"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3:15" ht="15" customHeight="1"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3:15" ht="15" customHeight="1"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3:15" ht="15" customHeight="1"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3:15" ht="15" customHeight="1"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3:15" ht="15" customHeight="1"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3:15" ht="15" customHeight="1"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3:15" ht="15" customHeight="1"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3:15" ht="15" customHeight="1"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3:15" ht="15" customHeight="1"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3:15" ht="15" customHeight="1"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3:15" ht="15" customHeight="1"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3:15" ht="15" customHeight="1"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3:15" ht="15" customHeight="1"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3:15" ht="15" customHeight="1"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3:15" ht="15" customHeight="1"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3:15" ht="15" customHeight="1"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3:15" ht="15" customHeight="1"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3:15" ht="15" customHeight="1"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3:15" ht="15" customHeight="1"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3:15" ht="15" customHeight="1"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3:15" ht="15" customHeight="1"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3:15" ht="15" customHeight="1"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3:15" ht="15" customHeight="1"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3:15" ht="15" customHeight="1"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3:15" ht="15" customHeight="1"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3:15" ht="15" customHeight="1"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3:15" ht="15" customHeight="1"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3:15" ht="15" customHeight="1"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3:15" ht="15" customHeight="1"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3:15" ht="15" customHeight="1"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3:15" ht="15" customHeight="1"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3:15" ht="15" customHeight="1"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3:15" ht="15" customHeight="1"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3:15" ht="15" customHeight="1"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3:15" ht="15" customHeight="1"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3:15" ht="15" customHeight="1"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3:15" ht="15" customHeight="1"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3:15" ht="15" customHeight="1"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3:15" ht="15" customHeight="1"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3:15" ht="15" customHeight="1"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3:15" ht="15" customHeight="1"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3:15" ht="15" customHeight="1"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3:15" ht="15" customHeight="1"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3:15" ht="15" customHeight="1"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3:15" ht="15" customHeight="1"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3:15" ht="15" customHeight="1"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3:15" ht="15" customHeight="1"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3:15" ht="15" customHeight="1"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3:15" ht="15" customHeight="1"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3:15" ht="15" customHeight="1"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3:15" ht="15" customHeight="1"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3:15" ht="15" customHeight="1"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3:15" ht="15" customHeight="1"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3:15" ht="15" customHeight="1"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3:15" ht="15" customHeight="1"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3:15" ht="15" customHeight="1"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3:15" ht="15" customHeight="1"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3:15" ht="15" customHeight="1"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3:15" ht="15" customHeight="1"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3:15" ht="15" customHeight="1"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3:15" ht="15" customHeight="1"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3:15" ht="15" customHeight="1"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3:15" ht="15" customHeight="1"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3:15" ht="15" customHeight="1"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3:15" ht="15" customHeight="1"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3:15" ht="15" customHeight="1"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3:15" ht="15" customHeight="1"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3:15" ht="15" customHeight="1"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3:15" ht="15" customHeight="1"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3:15" ht="15" customHeight="1"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3:15" ht="15" customHeight="1"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3:15" ht="15" customHeight="1"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3:15" ht="15" customHeight="1"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3:15" ht="15" customHeight="1"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3:15" ht="15" customHeight="1"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3:15" ht="15" customHeight="1"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3:15" ht="15" customHeight="1"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3:15" ht="15" customHeight="1"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3:15" ht="15" customHeight="1"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3:15" ht="15" customHeight="1"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3:15" ht="15" customHeight="1"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3:15" ht="15" customHeight="1"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3:15" ht="15" customHeight="1"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3:15" ht="15" customHeight="1"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3:15" ht="15" customHeight="1"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3:15" ht="15" customHeight="1"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3:15" ht="15" customHeight="1"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3:15" ht="15" customHeight="1"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3:15" ht="15" customHeight="1"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3:15" ht="15" customHeight="1"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3:15" ht="15" customHeight="1"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3:15" ht="15" customHeight="1"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3:15" ht="15" customHeight="1"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3:15" ht="15" customHeight="1"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3:15" ht="15" customHeight="1"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3:15" ht="15" customHeight="1"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3:15" ht="15" customHeight="1"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3:15" ht="15" customHeight="1"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3:15" ht="15" customHeight="1"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3:15" ht="15" customHeight="1"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3:15" ht="15" customHeight="1"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3:15" ht="15" customHeight="1"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3:15" ht="15" customHeight="1"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3:15" ht="15" customHeight="1"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3:15" ht="15" customHeight="1"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3:15" ht="15" customHeight="1"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3:15" ht="15" customHeight="1"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3:15" ht="15" customHeight="1"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3:15" ht="15" customHeight="1"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3:15" ht="15" customHeight="1"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3:15" ht="15" customHeight="1"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3:15" ht="15" customHeight="1"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3:15" ht="15" customHeight="1"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3:15" ht="15" customHeight="1"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3:15" ht="15" customHeight="1"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3:15" ht="15" customHeight="1"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3:15" ht="15" customHeight="1"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3:15" ht="15" customHeight="1"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3:15" ht="15" customHeight="1"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3:15" ht="15" customHeight="1"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3:15" ht="15" customHeight="1"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3:15" ht="15" customHeight="1"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3:15" ht="15" customHeight="1"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3:15" ht="15" customHeight="1"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3:15" ht="15" customHeight="1"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3:15" ht="15" customHeight="1"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3:15" ht="15" customHeight="1"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3:15" ht="15" customHeight="1"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3:15" ht="15" customHeight="1"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3:15" ht="15" customHeight="1"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3:15" ht="15" customHeight="1"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3:15" ht="15" customHeight="1"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3:15" ht="15" customHeight="1"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3:15" ht="15" customHeight="1"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3:15" ht="15" customHeight="1"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3:15" ht="15" customHeight="1"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3:15" ht="15" customHeight="1"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3:15" ht="15" customHeight="1"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3:15" ht="15" customHeight="1"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3:15" ht="15" customHeight="1"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3:15" ht="15" customHeight="1"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3:15" ht="15" customHeight="1"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3:15" ht="15" customHeight="1"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3:15" ht="15" customHeight="1"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3:15" ht="15" customHeight="1"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3:15" ht="15" customHeight="1"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3:15" ht="15" customHeight="1"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3:15" ht="15" customHeight="1"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3:15" ht="15" customHeight="1"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3:15" ht="15" customHeight="1"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3:15" ht="15" customHeight="1"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3:15" ht="15" customHeight="1"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3:15" ht="15" customHeight="1"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3:15" ht="15" customHeight="1"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3:15" ht="15" customHeight="1"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3:15" ht="15" customHeight="1"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3:15" ht="15" customHeight="1"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3:15" ht="15" customHeight="1"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3:15" ht="15" customHeight="1"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3:15" ht="15" customHeight="1"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3:15" ht="15" customHeight="1"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3:15" ht="15" customHeight="1"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3:15" ht="15" customHeight="1"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3:15" ht="15" customHeight="1"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3:15" ht="15" customHeight="1"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3:15" ht="15" customHeight="1"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3:15" ht="15" customHeight="1"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3:15" ht="15" customHeight="1"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3:15" ht="15" customHeight="1"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3:15" ht="15" customHeight="1"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3:15" ht="15" customHeight="1"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3:15" ht="15" customHeight="1"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3:15" ht="15" customHeight="1"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3:15" ht="15" customHeight="1"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3:15" ht="15" customHeight="1"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3:15" ht="15" customHeight="1"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3:15" ht="15" customHeight="1"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3:15" ht="15" customHeight="1"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3:15" ht="15" customHeight="1"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3:15" ht="15" customHeight="1"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3:15" ht="15" customHeight="1"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3:15" ht="15" customHeight="1"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3:15" ht="15" customHeight="1"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3:15" ht="15" customHeight="1"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3:15" ht="15" customHeight="1"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3:15" ht="15" customHeight="1"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3:15" ht="15" customHeight="1"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3:15" ht="15" customHeight="1"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3:15" ht="15" customHeight="1"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3:15" ht="15" customHeight="1"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3:15" ht="15" customHeight="1"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3:15" ht="15" customHeight="1"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3:15" ht="15" customHeight="1"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3:15" ht="15" customHeight="1"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3:15" ht="15" customHeight="1"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3:15" ht="15" customHeight="1"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3:15" ht="15" customHeight="1"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3:15" ht="15" customHeight="1"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3:15" ht="15" customHeight="1"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3:15" ht="15" customHeight="1"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3:15" ht="15" customHeight="1"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3:15" ht="15" customHeight="1"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3:15" ht="15" customHeight="1"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3:15" ht="15" customHeight="1"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3:15" ht="15" customHeight="1"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3:15" ht="15" customHeight="1"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3:15" ht="15" customHeight="1"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3:15" ht="15" customHeight="1"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3:15" ht="15" customHeight="1"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3:15" ht="15" customHeight="1"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3:15" ht="15" customHeight="1"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3:15" ht="15" customHeight="1"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3:15" ht="15" customHeight="1"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3:15" ht="15" customHeight="1"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3:15" ht="15" customHeight="1"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3:15" ht="15" customHeight="1"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3:15" ht="15" customHeight="1"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3:15" ht="15" customHeight="1"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3:15" ht="15" customHeight="1"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3:15" ht="15" customHeight="1"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3:15" ht="15" customHeight="1"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3:15" ht="15" customHeight="1"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3:15" ht="15" customHeight="1"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3:15" ht="15" customHeight="1"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3:15" ht="15" customHeight="1"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3:15" ht="15" customHeight="1"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3:15" ht="15" customHeight="1"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3:15" ht="15" customHeight="1"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3:15" ht="15" customHeight="1"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3:15" ht="15" customHeight="1"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3:15" ht="15" customHeight="1"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3:15" ht="15" customHeight="1"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3:15" ht="15" customHeight="1"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3:15" ht="15" customHeight="1"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3:15" ht="15" customHeight="1"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3:15" ht="15" customHeight="1"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3:15" ht="15" customHeight="1"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3:15" ht="15" customHeight="1"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3:15" ht="15" customHeight="1"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3:15" ht="15" customHeight="1"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3:15" ht="15" customHeight="1"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3:15" ht="15" customHeight="1"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3:15" ht="15" customHeight="1"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3:15" ht="15" customHeight="1"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3:15" ht="15" customHeight="1"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3:15" ht="15" customHeight="1"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3:15" ht="15" customHeight="1"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3:15" ht="15" customHeight="1"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3:15" ht="15" customHeight="1"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3:15" ht="15" customHeight="1"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3:15" ht="15" customHeight="1"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3:15" ht="15" customHeight="1"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3:15" ht="15" customHeight="1"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3:15" ht="15" customHeight="1"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3:15" ht="15" customHeight="1"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3:15" ht="15" customHeight="1"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3:15" ht="15" customHeight="1"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3:15" ht="15" customHeight="1"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3:15" ht="15" customHeight="1"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3:15" ht="15" customHeight="1"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3:15" ht="15" customHeight="1"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3:15" ht="15" customHeight="1"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3:15" ht="15" customHeight="1"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3:15" ht="15" customHeight="1"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3:15" ht="15" customHeight="1"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3:15" ht="15" customHeight="1"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3:15" ht="15" customHeight="1"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3:15" ht="15" customHeight="1"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3:15" ht="15" customHeight="1"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3:15" ht="15" customHeight="1"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3:15" ht="15" customHeight="1"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3:15" ht="15" customHeight="1"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3:15" ht="15" customHeight="1"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3:15" ht="15" customHeight="1"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3:15" ht="15" customHeight="1"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3:15" ht="15" customHeight="1"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3:15" ht="15" customHeight="1"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3:15" ht="15" customHeight="1"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3:15" ht="15" customHeight="1"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3:15" ht="15" customHeight="1"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3:15" ht="15" customHeight="1"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3:15" ht="15" customHeight="1"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3:15" ht="15" customHeight="1"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3:15" ht="15" customHeight="1"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3:15" ht="15" customHeight="1"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3:15" ht="15" customHeight="1"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3:15" ht="15" customHeight="1"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3:15" ht="15" customHeight="1"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3:15" ht="15" customHeight="1"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3:15" ht="15" customHeight="1"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3:15" ht="15" customHeight="1"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3:15" ht="15" customHeight="1"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3:15" ht="15" customHeight="1"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3:15" ht="15" customHeight="1"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3:15" ht="15" customHeight="1"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3:15" ht="15" customHeight="1"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3:15" ht="15" customHeight="1"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3:15" ht="15" customHeight="1"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3:15" ht="15" customHeight="1"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3:15" ht="15" customHeight="1"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3:15" ht="15" customHeight="1"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3:15" ht="15" customHeight="1"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3:15" ht="15" customHeight="1"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3:15" ht="15" customHeight="1"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3:15" ht="15" customHeight="1"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3:15" ht="15" customHeight="1"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3:15" ht="15" customHeight="1"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3:15" ht="15" customHeight="1"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3:15" ht="15" customHeight="1"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3:15" ht="15" customHeight="1"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3:15" ht="15" customHeight="1"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3:15" ht="15" customHeight="1"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 spans="3:15" ht="15" customHeight="1"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3:15" ht="15" customHeight="1"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3:15" ht="15" customHeight="1"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3:15" ht="15" customHeight="1"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3:15" ht="15" customHeight="1"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3:15" ht="15" customHeight="1"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3:15" ht="15" customHeight="1"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3:15" ht="15" customHeight="1"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3:15" ht="15" customHeight="1"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3:15" ht="15" customHeight="1"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3:15" ht="15" customHeight="1"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3:15" ht="15" customHeight="1"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3:15" ht="15" customHeight="1">
      <c r="C499"/>
      <c r="D499"/>
      <c r="E499"/>
      <c r="F499"/>
      <c r="G499"/>
      <c r="H499"/>
      <c r="I499"/>
      <c r="J499"/>
      <c r="K499"/>
      <c r="L499"/>
      <c r="M499"/>
      <c r="N499"/>
      <c r="O499"/>
    </row>
    <row r="500" spans="3:15" ht="15" customHeight="1"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3:15" ht="15" customHeight="1"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3:15" ht="15" customHeight="1"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3:15" ht="15" customHeight="1"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3:15" ht="15" customHeight="1">
      <c r="C504"/>
      <c r="D504"/>
      <c r="E504"/>
      <c r="F504"/>
      <c r="G504"/>
      <c r="H504"/>
      <c r="I504"/>
      <c r="J504"/>
      <c r="K504"/>
      <c r="L504"/>
      <c r="M504"/>
      <c r="N504"/>
      <c r="O504"/>
    </row>
    <row r="505" spans="3:15" ht="15" customHeight="1"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3:15" ht="15" customHeight="1"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3:15" ht="15" customHeight="1"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3:15" ht="15" customHeight="1"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3:15" ht="15" customHeight="1"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3:15" ht="15" customHeight="1"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3:15" ht="15" customHeight="1"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3:15" ht="15" customHeight="1"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3:15" ht="15" customHeight="1"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3:15" ht="15" customHeight="1"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3:15" ht="15" customHeight="1"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 spans="3:15" ht="15" customHeight="1"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3:15" ht="15" customHeight="1"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3:15" ht="15" customHeight="1"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3:15" ht="15" customHeight="1"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3:15" ht="15" customHeight="1"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3:15" ht="15" customHeight="1"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3:15" ht="15" customHeight="1"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3:15" ht="15" customHeight="1"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3:15" ht="15" customHeight="1"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3:15" ht="15" customHeight="1"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3:15" ht="15" customHeight="1"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3:15" ht="15" customHeight="1"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3:15" ht="15" customHeight="1"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3:15" ht="15" customHeight="1"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3:15" ht="15" customHeight="1"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 spans="3:15" ht="15" customHeight="1"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3:15" ht="15" customHeight="1"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3:15" ht="15" customHeight="1"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3:15" ht="15" customHeight="1"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3:15" ht="15" customHeight="1"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3:15" ht="15" customHeight="1"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3:15" ht="15" customHeight="1"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3:15" ht="15" customHeight="1"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 spans="3:15" ht="15" customHeight="1"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3:15" ht="15" customHeight="1"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3:15" ht="15" customHeight="1"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3:15" ht="15" customHeight="1"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3:15" ht="15" customHeight="1"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 spans="3:15" ht="15" customHeight="1"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3:15" ht="15" customHeight="1"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3:15" ht="15" customHeight="1"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3:15" ht="15" customHeight="1"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 spans="3:15" ht="15" customHeight="1"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3:15" ht="15" customHeight="1"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3:15" ht="15" customHeight="1"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3:15" ht="15" customHeight="1"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3:15" ht="15" customHeight="1"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3:15" ht="15" customHeight="1"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3:15" ht="15" customHeight="1"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3:15" ht="15" customHeight="1"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3:15" ht="15" customHeight="1"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3:15" ht="15" customHeight="1"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3:15" ht="15" customHeight="1"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3:15" ht="15" customHeight="1"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3:15" ht="15" customHeight="1"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3:15" ht="15" customHeight="1"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 spans="3:15" ht="15" customHeight="1"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3:15" ht="15" customHeight="1"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3:15" ht="15" customHeight="1"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3:15" ht="15" customHeight="1"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3:15" ht="15" customHeight="1"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3:15" ht="15" customHeight="1"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3:15" ht="15" customHeight="1"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3:15" ht="15" customHeight="1"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3:15" ht="15" customHeight="1"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3:15" ht="15" customHeight="1"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3:15" ht="15" customHeight="1"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3:15" ht="15" customHeight="1"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3:15" ht="15" customHeight="1"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3:15" ht="15" customHeight="1"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 spans="3:15" ht="15" customHeight="1"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3:15" ht="15" customHeight="1"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3:15" ht="15" customHeight="1"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3:15" ht="15" customHeight="1"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3:15" ht="15" customHeight="1"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3:15" ht="15" customHeight="1"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3:15" ht="15" customHeight="1"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3:15" ht="15" customHeight="1"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3:15" ht="15" customHeight="1"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3:15" ht="15" customHeight="1"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3:15" ht="15" customHeight="1"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3:15" ht="15" customHeight="1"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3:15" ht="15" customHeight="1"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3:15" ht="15" customHeight="1"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3:15" ht="15" customHeight="1"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3:15" ht="15" customHeight="1"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3:15" ht="15" customHeight="1"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3:15" ht="15" customHeight="1"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3:15" ht="15" customHeight="1"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3:15" ht="15" customHeight="1"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3:15" ht="15" customHeight="1"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3:15" ht="15" customHeight="1"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3:15" ht="15" customHeight="1"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3:15" ht="15" customHeight="1"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3:15" ht="15" customHeight="1"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3:15" ht="15" customHeight="1"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3:15" ht="15" customHeight="1"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3:15" ht="15" customHeight="1"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3:15" ht="15" customHeight="1"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3:15" ht="15" customHeight="1"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3:15" ht="15" customHeight="1"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3:15" ht="15" customHeight="1"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3:15" ht="15" customHeight="1"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3:15" ht="15" customHeight="1"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 spans="3:15" ht="15" customHeight="1"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3:15" ht="15" customHeight="1"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3:15" ht="15" customHeight="1"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3:15" ht="15" customHeight="1"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3:15" ht="15" customHeight="1"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3:15" ht="15" customHeight="1"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3:15" ht="15" customHeight="1"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3:15" ht="15" customHeight="1"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3:15" ht="15" customHeight="1"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3:15" ht="15" customHeight="1"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3:15" ht="15" customHeight="1"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 spans="3:15" ht="15" customHeight="1"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3:15" ht="15" customHeight="1"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3:15" ht="15" customHeight="1"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3:15" ht="15" customHeight="1"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3:15" ht="15" customHeight="1"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3:15" ht="15" customHeight="1"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 spans="3:15" ht="15" customHeight="1"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3:15" ht="15" customHeight="1"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3:15" ht="15" customHeight="1"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3:15" ht="15" customHeight="1"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3:15" ht="15" customHeight="1"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3:15" ht="15" customHeight="1"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3:15" ht="15" customHeight="1"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3:15" ht="15" customHeight="1"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3:15" ht="15" customHeight="1"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3:15" ht="15" customHeight="1"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 spans="3:15" ht="15" customHeight="1"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3:15" ht="15" customHeight="1"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3:15" ht="15" customHeight="1"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3:15" ht="15" customHeight="1"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3:15" ht="15" customHeight="1">
      <c r="C641"/>
      <c r="D641"/>
      <c r="E641"/>
      <c r="F641"/>
      <c r="G641"/>
      <c r="H641"/>
      <c r="I641"/>
      <c r="J641"/>
      <c r="K641"/>
      <c r="L641"/>
      <c r="M641"/>
      <c r="N641"/>
      <c r="O641"/>
    </row>
    <row r="642" spans="3:15" ht="15" customHeight="1"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3:15" ht="15" customHeight="1"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3:15" ht="15" customHeight="1"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3:15" ht="15" customHeight="1">
      <c r="C645"/>
      <c r="D645"/>
      <c r="E645"/>
      <c r="F645"/>
      <c r="G645"/>
      <c r="H645"/>
      <c r="I645"/>
      <c r="J645"/>
      <c r="K645"/>
      <c r="L645"/>
      <c r="M645"/>
      <c r="N645"/>
      <c r="O645"/>
    </row>
    <row r="646" spans="3:15" ht="15" customHeight="1"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3:15" ht="15" customHeight="1"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3:15" ht="15" customHeight="1"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3:15" ht="15" customHeight="1"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3:15" ht="15" customHeight="1">
      <c r="C650"/>
      <c r="D650"/>
      <c r="E650"/>
      <c r="F650"/>
      <c r="G650"/>
      <c r="H650"/>
      <c r="I650"/>
      <c r="J650"/>
      <c r="K650"/>
      <c r="L650"/>
      <c r="M650"/>
      <c r="N650"/>
      <c r="O650"/>
    </row>
    <row r="651" spans="3:15" ht="15" customHeight="1"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3:15" ht="15" customHeight="1"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3:15" ht="15" customHeight="1">
      <c r="C653"/>
      <c r="D653"/>
      <c r="E653"/>
      <c r="F653"/>
      <c r="G653"/>
      <c r="H653"/>
      <c r="I653"/>
      <c r="J653"/>
      <c r="K653"/>
      <c r="L653"/>
      <c r="M653"/>
      <c r="N653"/>
      <c r="O653"/>
    </row>
    <row r="654" spans="3:15" ht="15" customHeight="1"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3:15" ht="15" customHeight="1"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3:15" ht="15" customHeight="1"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3:15" ht="15" customHeight="1"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3:15" ht="15" customHeight="1">
      <c r="C658"/>
      <c r="D658"/>
      <c r="E658"/>
      <c r="F658"/>
      <c r="G658"/>
      <c r="H658"/>
      <c r="I658"/>
      <c r="J658"/>
      <c r="K658"/>
      <c r="L658"/>
      <c r="M658"/>
      <c r="N658"/>
      <c r="O658"/>
    </row>
    <row r="659" spans="3:15" ht="15" customHeight="1"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3:15" ht="15" customHeight="1"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3:15" ht="15" customHeight="1"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3:15" ht="15" customHeight="1"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3:15" ht="15" customHeight="1"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3:15" ht="15" customHeight="1"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3:15" ht="15" customHeight="1"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3:15" ht="15" customHeight="1"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3:15" ht="15" customHeight="1"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3:15" ht="15" customHeight="1"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3:15" ht="15" customHeight="1"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3:15" ht="15" customHeight="1"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3:15" ht="15" customHeight="1"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3:15" ht="15" customHeight="1"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spans="3:15" ht="15" customHeight="1">
      <c r="C673"/>
      <c r="D673"/>
      <c r="E673"/>
      <c r="F673"/>
      <c r="G673"/>
      <c r="H673"/>
      <c r="I673"/>
      <c r="J673"/>
      <c r="K673"/>
      <c r="L673"/>
      <c r="M673"/>
      <c r="N673"/>
      <c r="O673"/>
    </row>
    <row r="674" spans="3:15" ht="15" customHeight="1">
      <c r="C674"/>
      <c r="D674"/>
      <c r="E674"/>
      <c r="F674"/>
      <c r="G674"/>
      <c r="H674"/>
      <c r="I674"/>
      <c r="J674"/>
      <c r="K674"/>
      <c r="L674"/>
      <c r="M674"/>
      <c r="N674"/>
      <c r="O674"/>
    </row>
    <row r="675" spans="3:15" ht="15" customHeight="1">
      <c r="C675"/>
      <c r="D675"/>
      <c r="E675"/>
      <c r="F675"/>
      <c r="G675"/>
      <c r="H675"/>
      <c r="I675"/>
      <c r="J675"/>
      <c r="K675"/>
      <c r="L675"/>
      <c r="M675"/>
      <c r="N675"/>
      <c r="O675"/>
    </row>
    <row r="676" spans="3:15" ht="15" customHeight="1">
      <c r="C676"/>
      <c r="D676"/>
      <c r="E676"/>
      <c r="F676"/>
      <c r="G676"/>
      <c r="H676"/>
      <c r="I676"/>
      <c r="J676"/>
      <c r="K676"/>
      <c r="L676"/>
      <c r="M676"/>
      <c r="N676"/>
      <c r="O676"/>
    </row>
    <row r="677" spans="3:15" ht="15" customHeight="1">
      <c r="C677"/>
      <c r="D677"/>
      <c r="E677"/>
      <c r="F677"/>
      <c r="G677"/>
      <c r="H677"/>
      <c r="I677"/>
      <c r="J677"/>
      <c r="K677"/>
      <c r="L677"/>
      <c r="M677"/>
      <c r="N677"/>
      <c r="O677"/>
    </row>
    <row r="678" spans="3:15" ht="15" customHeight="1">
      <c r="C678"/>
      <c r="D678"/>
      <c r="E678"/>
      <c r="F678"/>
      <c r="G678"/>
      <c r="H678"/>
      <c r="I678"/>
      <c r="J678"/>
      <c r="K678"/>
      <c r="L678"/>
      <c r="M678"/>
      <c r="N678"/>
      <c r="O678"/>
    </row>
    <row r="679" spans="3:15" ht="15" customHeight="1">
      <c r="C679"/>
      <c r="D679"/>
      <c r="E679"/>
      <c r="F679"/>
      <c r="G679"/>
      <c r="H679"/>
      <c r="I679"/>
      <c r="J679"/>
      <c r="K679"/>
      <c r="L679"/>
      <c r="M679"/>
      <c r="N679"/>
      <c r="O679"/>
    </row>
    <row r="680" spans="3:15" ht="15" customHeight="1"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 spans="3:15" ht="15" customHeight="1">
      <c r="C681"/>
      <c r="D681"/>
      <c r="E681"/>
      <c r="F681"/>
      <c r="G681"/>
      <c r="H681"/>
      <c r="I681"/>
      <c r="J681"/>
      <c r="K681"/>
      <c r="L681"/>
      <c r="M681"/>
      <c r="N681"/>
      <c r="O681"/>
    </row>
    <row r="682" spans="3:15" ht="15" customHeight="1">
      <c r="C682"/>
      <c r="D682"/>
      <c r="E682"/>
      <c r="F682"/>
      <c r="G682"/>
      <c r="H682"/>
      <c r="I682"/>
      <c r="J682"/>
      <c r="K682"/>
      <c r="L682"/>
      <c r="M682"/>
      <c r="N682"/>
      <c r="O682"/>
    </row>
    <row r="683" spans="3:15" ht="15" customHeight="1"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 spans="3:15" ht="15" customHeight="1">
      <c r="C684"/>
      <c r="D684"/>
      <c r="E684"/>
      <c r="F684"/>
      <c r="G684"/>
      <c r="H684"/>
      <c r="I684"/>
      <c r="J684"/>
      <c r="K684"/>
      <c r="L684"/>
      <c r="M684"/>
      <c r="N684"/>
      <c r="O684"/>
    </row>
    <row r="685" spans="3:15" ht="15" customHeight="1">
      <c r="C685"/>
      <c r="D685"/>
      <c r="E685"/>
      <c r="F685"/>
      <c r="G685"/>
      <c r="H685"/>
      <c r="I685"/>
      <c r="J685"/>
      <c r="K685"/>
      <c r="L685"/>
      <c r="M685"/>
      <c r="N685"/>
      <c r="O685"/>
    </row>
    <row r="686" spans="3:15" ht="15" customHeight="1">
      <c r="C686"/>
      <c r="D686"/>
      <c r="E686"/>
      <c r="F686"/>
      <c r="G686"/>
      <c r="H686"/>
      <c r="I686"/>
      <c r="J686"/>
      <c r="K686"/>
      <c r="L686"/>
      <c r="M686"/>
      <c r="N686"/>
      <c r="O686"/>
    </row>
    <row r="687" spans="3:15" ht="15" customHeight="1">
      <c r="C687"/>
      <c r="D687"/>
      <c r="E687"/>
      <c r="F687"/>
      <c r="G687"/>
      <c r="H687"/>
      <c r="I687"/>
      <c r="J687"/>
      <c r="K687"/>
      <c r="L687"/>
      <c r="M687"/>
      <c r="N687"/>
      <c r="O687"/>
    </row>
    <row r="688" spans="3:15" ht="15" customHeight="1"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 spans="3:15" ht="15" customHeight="1">
      <c r="C689"/>
      <c r="D689"/>
      <c r="E689"/>
      <c r="F689"/>
      <c r="G689"/>
      <c r="H689"/>
      <c r="I689"/>
      <c r="J689"/>
      <c r="K689"/>
      <c r="L689"/>
      <c r="M689"/>
      <c r="N689"/>
      <c r="O689"/>
    </row>
    <row r="690" spans="3:15" ht="15" customHeight="1">
      <c r="C690"/>
      <c r="D690"/>
      <c r="E690"/>
      <c r="F690"/>
      <c r="G690"/>
      <c r="H690"/>
      <c r="I690"/>
      <c r="J690"/>
      <c r="K690"/>
      <c r="L690"/>
      <c r="M690"/>
      <c r="N690"/>
      <c r="O690"/>
    </row>
    <row r="691" spans="3:15" ht="15" customHeight="1">
      <c r="C691"/>
      <c r="D691"/>
      <c r="E691"/>
      <c r="F691"/>
      <c r="G691"/>
      <c r="H691"/>
      <c r="I691"/>
      <c r="J691"/>
      <c r="K691"/>
      <c r="L691"/>
      <c r="M691"/>
      <c r="N691"/>
      <c r="O691"/>
    </row>
    <row r="692" spans="3:15" ht="15" customHeight="1">
      <c r="C692"/>
      <c r="D692"/>
      <c r="E692"/>
      <c r="F692"/>
      <c r="G692"/>
      <c r="H692"/>
      <c r="I692"/>
      <c r="J692"/>
      <c r="K692"/>
      <c r="L692"/>
      <c r="M692"/>
      <c r="N692"/>
      <c r="O692"/>
    </row>
    <row r="693" spans="3:15" ht="15" customHeight="1">
      <c r="C693"/>
      <c r="D693"/>
      <c r="E693"/>
      <c r="F693"/>
      <c r="G693"/>
      <c r="H693"/>
      <c r="I693"/>
      <c r="J693"/>
      <c r="K693"/>
      <c r="L693"/>
      <c r="M693"/>
      <c r="N693"/>
      <c r="O693"/>
    </row>
    <row r="694" spans="3:15" ht="15" customHeight="1">
      <c r="C694"/>
      <c r="D694"/>
      <c r="E694"/>
      <c r="F694"/>
      <c r="G694"/>
      <c r="H694"/>
      <c r="I694"/>
      <c r="J694"/>
      <c r="K694"/>
      <c r="L694"/>
      <c r="M694"/>
      <c r="N694"/>
      <c r="O694"/>
    </row>
    <row r="695" spans="3:15" ht="15" customHeight="1">
      <c r="C695"/>
      <c r="D695"/>
      <c r="E695"/>
      <c r="F695"/>
      <c r="G695"/>
      <c r="H695"/>
      <c r="I695"/>
      <c r="J695"/>
      <c r="K695"/>
      <c r="L695"/>
      <c r="M695"/>
      <c r="N695"/>
      <c r="O695"/>
    </row>
    <row r="696" spans="3:15" ht="15" customHeight="1">
      <c r="C696"/>
      <c r="D696"/>
      <c r="E696"/>
      <c r="F696"/>
      <c r="G696"/>
      <c r="H696"/>
      <c r="I696"/>
      <c r="J696"/>
      <c r="K696"/>
      <c r="L696"/>
      <c r="M696"/>
      <c r="N696"/>
      <c r="O696"/>
    </row>
    <row r="697" spans="3:15" ht="15" customHeight="1">
      <c r="C697"/>
      <c r="D697"/>
      <c r="E697"/>
      <c r="F697"/>
      <c r="G697"/>
      <c r="H697"/>
      <c r="I697"/>
      <c r="J697"/>
      <c r="K697"/>
      <c r="L697"/>
      <c r="M697"/>
      <c r="N697"/>
      <c r="O697"/>
    </row>
    <row r="698" spans="3:15" ht="15" customHeight="1">
      <c r="C698"/>
      <c r="D698"/>
      <c r="E698"/>
      <c r="F698"/>
      <c r="G698"/>
      <c r="H698"/>
      <c r="I698"/>
      <c r="J698"/>
      <c r="K698"/>
      <c r="L698"/>
      <c r="M698"/>
      <c r="N698"/>
      <c r="O698"/>
    </row>
    <row r="699" spans="3:15" ht="15" customHeight="1">
      <c r="C699"/>
      <c r="D699"/>
      <c r="E699"/>
      <c r="F699"/>
      <c r="G699"/>
      <c r="H699"/>
      <c r="I699"/>
      <c r="J699"/>
      <c r="K699"/>
      <c r="L699"/>
      <c r="M699"/>
      <c r="N699"/>
      <c r="O699"/>
    </row>
    <row r="700" spans="3:15" ht="15" customHeight="1">
      <c r="C700"/>
      <c r="D700"/>
      <c r="E700"/>
      <c r="F700"/>
      <c r="G700"/>
      <c r="H700"/>
      <c r="I700"/>
      <c r="J700"/>
      <c r="K700"/>
      <c r="L700"/>
      <c r="M700"/>
      <c r="N700"/>
      <c r="O700"/>
    </row>
    <row r="701" spans="3:15" ht="15" customHeight="1">
      <c r="C701"/>
      <c r="D701"/>
      <c r="E701"/>
      <c r="F701"/>
      <c r="G701"/>
      <c r="H701"/>
      <c r="I701"/>
      <c r="J701"/>
      <c r="K701"/>
      <c r="L701"/>
      <c r="M701"/>
      <c r="N701"/>
      <c r="O701"/>
    </row>
    <row r="702" spans="3:15" ht="15" customHeight="1"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3:15" ht="15" customHeight="1"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3:15" ht="15" customHeight="1"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3:15" ht="15" customHeight="1"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3:15" ht="15" customHeight="1">
      <c r="C706"/>
      <c r="D706"/>
      <c r="E706"/>
      <c r="F706"/>
      <c r="G706"/>
      <c r="H706"/>
      <c r="I706"/>
      <c r="J706"/>
      <c r="K706"/>
      <c r="L706"/>
      <c r="M706"/>
      <c r="N706"/>
      <c r="O706"/>
    </row>
    <row r="707" spans="3:15" ht="15" customHeight="1">
      <c r="C707"/>
      <c r="D707"/>
      <c r="E707"/>
      <c r="F707"/>
      <c r="G707"/>
      <c r="H707"/>
      <c r="I707"/>
      <c r="J707"/>
      <c r="K707"/>
      <c r="L707"/>
      <c r="M707"/>
      <c r="N707"/>
      <c r="O707"/>
    </row>
    <row r="708" spans="3:15" ht="15" customHeight="1">
      <c r="C708"/>
      <c r="D708"/>
      <c r="E708"/>
      <c r="F708"/>
      <c r="G708"/>
      <c r="H708"/>
      <c r="I708"/>
      <c r="J708"/>
      <c r="K708"/>
      <c r="L708"/>
      <c r="M708"/>
      <c r="N708"/>
      <c r="O708"/>
    </row>
    <row r="709" spans="3:15" ht="15" customHeight="1">
      <c r="C709"/>
      <c r="D709"/>
      <c r="E709"/>
      <c r="F709"/>
      <c r="G709"/>
      <c r="H709"/>
      <c r="I709"/>
      <c r="J709"/>
      <c r="K709"/>
      <c r="L709"/>
      <c r="M709"/>
      <c r="N709"/>
      <c r="O709"/>
    </row>
    <row r="710" spans="3:15" ht="15" customHeight="1">
      <c r="C710"/>
      <c r="D710"/>
      <c r="E710"/>
      <c r="F710"/>
      <c r="G710"/>
      <c r="H710"/>
      <c r="I710"/>
      <c r="J710"/>
      <c r="K710"/>
      <c r="L710"/>
      <c r="M710"/>
      <c r="N710"/>
      <c r="O710"/>
    </row>
    <row r="711" spans="3:15" ht="15" customHeight="1">
      <c r="C711"/>
      <c r="D711"/>
      <c r="E711"/>
      <c r="F711"/>
      <c r="G711"/>
      <c r="H711"/>
      <c r="I711"/>
      <c r="J711"/>
      <c r="K711"/>
      <c r="L711"/>
      <c r="M711"/>
      <c r="N711"/>
      <c r="O711"/>
    </row>
    <row r="712" spans="3:15" ht="15" customHeight="1">
      <c r="C712"/>
      <c r="D712"/>
      <c r="E712"/>
      <c r="F712"/>
      <c r="G712"/>
      <c r="H712"/>
      <c r="I712"/>
      <c r="J712"/>
      <c r="K712"/>
      <c r="L712"/>
      <c r="M712"/>
      <c r="N712"/>
      <c r="O712"/>
    </row>
    <row r="713" spans="3:15" ht="15" customHeight="1">
      <c r="C713"/>
      <c r="D713"/>
      <c r="E713"/>
      <c r="F713"/>
      <c r="G713"/>
      <c r="H713"/>
      <c r="I713"/>
      <c r="J713"/>
      <c r="K713"/>
      <c r="L713"/>
      <c r="M713"/>
      <c r="N713"/>
      <c r="O713"/>
    </row>
    <row r="714" spans="3:15" ht="15" customHeight="1">
      <c r="C714"/>
      <c r="D714"/>
      <c r="E714"/>
      <c r="F714"/>
      <c r="G714"/>
      <c r="H714"/>
      <c r="I714"/>
      <c r="J714"/>
      <c r="K714"/>
      <c r="L714"/>
      <c r="M714"/>
      <c r="N714"/>
      <c r="O714"/>
    </row>
    <row r="715" spans="3:15" ht="15" customHeight="1">
      <c r="C715"/>
      <c r="D715"/>
      <c r="E715"/>
      <c r="F715"/>
      <c r="G715"/>
      <c r="H715"/>
      <c r="I715"/>
      <c r="J715"/>
      <c r="K715"/>
      <c r="L715"/>
      <c r="M715"/>
      <c r="N715"/>
      <c r="O715"/>
    </row>
    <row r="716" spans="3:15" ht="15" customHeight="1">
      <c r="C716"/>
      <c r="D716"/>
      <c r="E716"/>
      <c r="F716"/>
      <c r="G716"/>
      <c r="H716"/>
      <c r="I716"/>
      <c r="J716"/>
      <c r="K716"/>
      <c r="L716"/>
      <c r="M716"/>
      <c r="N716"/>
      <c r="O716"/>
    </row>
    <row r="717" spans="3:15" ht="15" customHeight="1">
      <c r="C717"/>
      <c r="D717"/>
      <c r="E717"/>
      <c r="F717"/>
      <c r="G717"/>
      <c r="H717"/>
      <c r="I717"/>
      <c r="J717"/>
      <c r="K717"/>
      <c r="L717"/>
      <c r="M717"/>
      <c r="N717"/>
      <c r="O717"/>
    </row>
    <row r="718" spans="3:15" ht="15" customHeight="1">
      <c r="C718"/>
      <c r="D718"/>
      <c r="E718"/>
      <c r="F718"/>
      <c r="G718"/>
      <c r="H718"/>
      <c r="I718"/>
      <c r="J718"/>
      <c r="K718"/>
      <c r="L718"/>
      <c r="M718"/>
      <c r="N718"/>
      <c r="O718"/>
    </row>
    <row r="719" spans="3:15" ht="15" customHeight="1">
      <c r="C719"/>
      <c r="D719"/>
      <c r="E719"/>
      <c r="F719"/>
      <c r="G719"/>
      <c r="H719"/>
      <c r="I719"/>
      <c r="J719"/>
      <c r="K719"/>
      <c r="L719"/>
      <c r="M719"/>
      <c r="N719"/>
      <c r="O719"/>
    </row>
    <row r="720" spans="3:15" ht="15" customHeight="1">
      <c r="C720"/>
      <c r="D720"/>
      <c r="E720"/>
      <c r="F720"/>
      <c r="G720"/>
      <c r="H720"/>
      <c r="I720"/>
      <c r="J720"/>
      <c r="K720"/>
      <c r="L720"/>
      <c r="M720"/>
      <c r="N720"/>
      <c r="O720"/>
    </row>
    <row r="721" spans="3:15" ht="15" customHeight="1">
      <c r="C721"/>
      <c r="D721"/>
      <c r="E721"/>
      <c r="F721"/>
      <c r="G721"/>
      <c r="H721"/>
      <c r="I721"/>
      <c r="J721"/>
      <c r="K721"/>
      <c r="L721"/>
      <c r="M721"/>
      <c r="N721"/>
      <c r="O721"/>
    </row>
    <row r="722" spans="3:15" ht="15" customHeight="1">
      <c r="C722"/>
      <c r="D722"/>
      <c r="E722"/>
      <c r="F722"/>
      <c r="G722"/>
      <c r="H722"/>
      <c r="I722"/>
      <c r="J722"/>
      <c r="K722"/>
      <c r="L722"/>
      <c r="M722"/>
      <c r="N722"/>
      <c r="O722"/>
    </row>
    <row r="723" spans="3:15" ht="15" customHeight="1">
      <c r="C723"/>
      <c r="D723"/>
      <c r="E723"/>
      <c r="F723"/>
      <c r="G723"/>
      <c r="H723"/>
      <c r="I723"/>
      <c r="J723"/>
      <c r="K723"/>
      <c r="L723"/>
      <c r="M723"/>
      <c r="N723"/>
      <c r="O723"/>
    </row>
    <row r="724" spans="3:15" ht="15" customHeight="1">
      <c r="C724"/>
      <c r="D724"/>
      <c r="E724"/>
      <c r="F724"/>
      <c r="G724"/>
      <c r="H724"/>
      <c r="I724"/>
      <c r="J724"/>
      <c r="K724"/>
      <c r="L724"/>
      <c r="M724"/>
      <c r="N724"/>
      <c r="O724"/>
    </row>
    <row r="725" spans="3:15" ht="15" customHeight="1">
      <c r="C725"/>
      <c r="D725"/>
      <c r="E725"/>
      <c r="F725"/>
      <c r="G725"/>
      <c r="H725"/>
      <c r="I725"/>
      <c r="J725"/>
      <c r="K725"/>
      <c r="L725"/>
      <c r="M725"/>
      <c r="N725"/>
      <c r="O725"/>
    </row>
    <row r="726" spans="3:15" ht="15" customHeight="1">
      <c r="C726"/>
      <c r="D726"/>
      <c r="E726"/>
      <c r="F726"/>
      <c r="G726"/>
      <c r="H726"/>
      <c r="I726"/>
      <c r="J726"/>
      <c r="K726"/>
      <c r="L726"/>
      <c r="M726"/>
      <c r="N726"/>
      <c r="O726"/>
    </row>
    <row r="727" spans="3:15" ht="15" customHeight="1">
      <c r="C727"/>
      <c r="D727"/>
      <c r="E727"/>
      <c r="F727"/>
      <c r="G727"/>
      <c r="H727"/>
      <c r="I727"/>
      <c r="J727"/>
      <c r="K727"/>
      <c r="L727"/>
      <c r="M727"/>
      <c r="N727"/>
      <c r="O727"/>
    </row>
    <row r="728" spans="3:15" ht="15" customHeight="1">
      <c r="C728"/>
      <c r="D728"/>
      <c r="E728"/>
      <c r="F728"/>
      <c r="G728"/>
      <c r="H728"/>
      <c r="I728"/>
      <c r="J728"/>
      <c r="K728"/>
      <c r="L728"/>
      <c r="M728"/>
      <c r="N728"/>
      <c r="O728"/>
    </row>
    <row r="729" spans="3:15" ht="15" customHeight="1">
      <c r="C729"/>
      <c r="D729"/>
      <c r="E729"/>
      <c r="F729"/>
      <c r="G729"/>
      <c r="H729"/>
      <c r="I729"/>
      <c r="J729"/>
      <c r="K729"/>
      <c r="L729"/>
      <c r="M729"/>
      <c r="N729"/>
      <c r="O729"/>
    </row>
    <row r="730" spans="3:15" ht="15" customHeight="1">
      <c r="C730"/>
      <c r="D730"/>
      <c r="E730"/>
      <c r="F730"/>
      <c r="G730"/>
      <c r="H730"/>
      <c r="I730"/>
      <c r="J730"/>
      <c r="K730"/>
      <c r="L730"/>
      <c r="M730"/>
      <c r="N730"/>
      <c r="O730"/>
    </row>
    <row r="731" spans="3:15" ht="15" customHeight="1">
      <c r="C731"/>
      <c r="D731"/>
      <c r="E731"/>
      <c r="F731"/>
      <c r="G731"/>
      <c r="H731"/>
      <c r="I731"/>
      <c r="J731"/>
      <c r="K731"/>
      <c r="L731"/>
      <c r="M731"/>
      <c r="N731"/>
      <c r="O731"/>
    </row>
    <row r="732" spans="3:15" ht="15" customHeight="1">
      <c r="C732"/>
      <c r="D732"/>
      <c r="E732"/>
      <c r="F732"/>
      <c r="G732"/>
      <c r="H732"/>
      <c r="I732"/>
      <c r="J732"/>
      <c r="K732"/>
      <c r="L732"/>
      <c r="M732"/>
      <c r="N732"/>
      <c r="O732"/>
    </row>
    <row r="733" spans="3:15" ht="15" customHeight="1">
      <c r="C733"/>
      <c r="D733"/>
      <c r="E733"/>
      <c r="F733"/>
      <c r="G733"/>
      <c r="H733"/>
      <c r="I733"/>
      <c r="J733"/>
      <c r="K733"/>
      <c r="L733"/>
      <c r="M733"/>
      <c r="N733"/>
      <c r="O733"/>
    </row>
    <row r="734" spans="3:15" ht="15" customHeight="1">
      <c r="C734"/>
      <c r="D734"/>
      <c r="E734"/>
      <c r="F734"/>
      <c r="G734"/>
      <c r="H734"/>
      <c r="I734"/>
      <c r="J734"/>
      <c r="K734"/>
      <c r="L734"/>
      <c r="M734"/>
      <c r="N734"/>
      <c r="O734"/>
    </row>
    <row r="735" spans="3:15" ht="15" customHeight="1">
      <c r="C735"/>
      <c r="D735"/>
      <c r="E735"/>
      <c r="F735"/>
      <c r="G735"/>
      <c r="H735"/>
      <c r="I735"/>
      <c r="J735"/>
      <c r="K735"/>
      <c r="L735"/>
      <c r="M735"/>
      <c r="N735"/>
      <c r="O735"/>
    </row>
    <row r="736" spans="3:15" ht="15" customHeight="1">
      <c r="C736"/>
      <c r="D736"/>
      <c r="E736"/>
      <c r="F736"/>
      <c r="G736"/>
      <c r="H736"/>
      <c r="I736"/>
      <c r="J736"/>
      <c r="K736"/>
      <c r="L736"/>
      <c r="M736"/>
      <c r="N736"/>
      <c r="O736"/>
    </row>
    <row r="737" spans="3:15" ht="15" customHeight="1">
      <c r="C737"/>
      <c r="D737"/>
      <c r="E737"/>
      <c r="F737"/>
      <c r="G737"/>
      <c r="H737"/>
      <c r="I737"/>
      <c r="J737"/>
      <c r="K737"/>
      <c r="L737"/>
      <c r="M737"/>
      <c r="N737"/>
      <c r="O737"/>
    </row>
    <row r="738" spans="3:15" ht="15" customHeight="1">
      <c r="C738"/>
      <c r="D738"/>
      <c r="E738"/>
      <c r="F738"/>
      <c r="G738"/>
      <c r="H738"/>
      <c r="I738"/>
      <c r="J738"/>
      <c r="K738"/>
      <c r="L738"/>
      <c r="M738"/>
      <c r="N738"/>
      <c r="O738"/>
    </row>
    <row r="739" spans="3:15" ht="15" customHeight="1">
      <c r="C739"/>
      <c r="D739"/>
      <c r="E739"/>
      <c r="F739"/>
      <c r="G739"/>
      <c r="H739"/>
      <c r="I739"/>
      <c r="J739"/>
      <c r="K739"/>
      <c r="L739"/>
      <c r="M739"/>
      <c r="N739"/>
      <c r="O739"/>
    </row>
    <row r="740" spans="3:15" ht="15" customHeight="1">
      <c r="C740"/>
      <c r="D740"/>
      <c r="E740"/>
      <c r="F740"/>
      <c r="G740"/>
      <c r="H740"/>
      <c r="I740"/>
      <c r="J740"/>
      <c r="K740"/>
      <c r="L740"/>
      <c r="M740"/>
      <c r="N740"/>
      <c r="O740"/>
    </row>
    <row r="741" spans="3:15" ht="15" customHeight="1">
      <c r="C741"/>
      <c r="D741"/>
      <c r="E741"/>
      <c r="F741"/>
      <c r="G741"/>
      <c r="H741"/>
      <c r="I741"/>
      <c r="J741"/>
      <c r="K741"/>
      <c r="L741"/>
      <c r="M741"/>
      <c r="N741"/>
      <c r="O741"/>
    </row>
    <row r="742" spans="3:15" ht="15" customHeight="1">
      <c r="C742"/>
      <c r="D742"/>
      <c r="E742"/>
      <c r="F742"/>
      <c r="G742"/>
      <c r="H742"/>
      <c r="I742"/>
      <c r="J742"/>
      <c r="K742"/>
      <c r="L742"/>
      <c r="M742"/>
      <c r="N742"/>
      <c r="O742"/>
    </row>
    <row r="743" spans="3:15" ht="15" customHeight="1"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3:15" ht="15" customHeight="1"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3:15" ht="15" customHeight="1"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46" spans="3:15" ht="15" customHeight="1">
      <c r="C746"/>
      <c r="D746"/>
      <c r="E746"/>
      <c r="F746"/>
      <c r="G746"/>
      <c r="H746"/>
      <c r="I746"/>
      <c r="J746"/>
      <c r="K746"/>
      <c r="L746"/>
      <c r="M746"/>
      <c r="N746"/>
      <c r="O746"/>
    </row>
    <row r="747" spans="3:15" ht="15" customHeight="1">
      <c r="C747"/>
      <c r="D747"/>
      <c r="E747"/>
      <c r="F747"/>
      <c r="G747"/>
      <c r="H747"/>
      <c r="I747"/>
      <c r="J747"/>
      <c r="K747"/>
      <c r="L747"/>
      <c r="M747"/>
      <c r="N747"/>
      <c r="O747"/>
    </row>
    <row r="748" spans="3:15" ht="15" customHeight="1">
      <c r="C748"/>
      <c r="D748"/>
      <c r="E748"/>
      <c r="F748"/>
      <c r="G748"/>
      <c r="H748"/>
      <c r="I748"/>
      <c r="J748"/>
      <c r="K748"/>
      <c r="L748"/>
      <c r="M748"/>
      <c r="N748"/>
      <c r="O748"/>
    </row>
    <row r="749" spans="3:15" ht="15" customHeight="1">
      <c r="C749"/>
      <c r="D749"/>
      <c r="E749"/>
      <c r="F749"/>
      <c r="G749"/>
      <c r="H749"/>
      <c r="I749"/>
      <c r="J749"/>
      <c r="K749"/>
      <c r="L749"/>
      <c r="M749"/>
      <c r="N749"/>
      <c r="O749"/>
    </row>
    <row r="750" spans="3:15" ht="15" customHeight="1">
      <c r="C750"/>
      <c r="D750"/>
      <c r="E750"/>
      <c r="F750"/>
      <c r="G750"/>
      <c r="H750"/>
      <c r="I750"/>
      <c r="J750"/>
      <c r="K750"/>
      <c r="L750"/>
      <c r="M750"/>
      <c r="N750"/>
      <c r="O750"/>
    </row>
    <row r="751" spans="3:15" ht="15" customHeight="1">
      <c r="C751"/>
      <c r="D751"/>
      <c r="E751"/>
      <c r="F751"/>
      <c r="G751"/>
      <c r="H751"/>
      <c r="I751"/>
      <c r="J751"/>
      <c r="K751"/>
      <c r="L751"/>
      <c r="M751"/>
      <c r="N751"/>
      <c r="O751"/>
    </row>
    <row r="752" spans="3:15" ht="15" customHeight="1">
      <c r="C752"/>
      <c r="D752"/>
      <c r="E752"/>
      <c r="F752"/>
      <c r="G752"/>
      <c r="H752"/>
      <c r="I752"/>
      <c r="J752"/>
      <c r="K752"/>
      <c r="L752"/>
      <c r="M752"/>
      <c r="N752"/>
      <c r="O752"/>
    </row>
    <row r="753" spans="3:15" ht="15" customHeight="1">
      <c r="C753"/>
      <c r="D753"/>
      <c r="E753"/>
      <c r="F753"/>
      <c r="G753"/>
      <c r="H753"/>
      <c r="I753"/>
      <c r="J753"/>
      <c r="K753"/>
      <c r="L753"/>
      <c r="M753"/>
      <c r="N753"/>
      <c r="O753"/>
    </row>
    <row r="754" spans="3:15" ht="15" customHeight="1">
      <c r="C754"/>
      <c r="D754"/>
      <c r="E754"/>
      <c r="F754"/>
      <c r="G754"/>
      <c r="H754"/>
      <c r="I754"/>
      <c r="J754"/>
      <c r="K754"/>
      <c r="L754"/>
      <c r="M754"/>
      <c r="N754"/>
      <c r="O754"/>
    </row>
    <row r="755" spans="3:15" ht="15" customHeight="1">
      <c r="C755"/>
      <c r="D755"/>
      <c r="E755"/>
      <c r="F755"/>
      <c r="G755"/>
      <c r="H755"/>
      <c r="I755"/>
      <c r="J755"/>
      <c r="K755"/>
      <c r="L755"/>
      <c r="M755"/>
      <c r="N755"/>
      <c r="O755"/>
    </row>
    <row r="756" spans="3:15" ht="15" customHeight="1">
      <c r="C756"/>
      <c r="D756"/>
      <c r="E756"/>
      <c r="F756"/>
      <c r="G756"/>
      <c r="H756"/>
      <c r="I756"/>
      <c r="J756"/>
      <c r="K756"/>
      <c r="L756"/>
      <c r="M756"/>
      <c r="N756"/>
      <c r="O756"/>
    </row>
    <row r="757" spans="3:15" ht="15" customHeight="1">
      <c r="C757"/>
      <c r="D757"/>
      <c r="E757"/>
      <c r="F757"/>
      <c r="G757"/>
      <c r="H757"/>
      <c r="I757"/>
      <c r="J757"/>
      <c r="K757"/>
      <c r="L757"/>
      <c r="M757"/>
      <c r="N757"/>
      <c r="O757"/>
    </row>
    <row r="758" spans="3:15" ht="15" customHeight="1">
      <c r="C758"/>
      <c r="D758"/>
      <c r="E758"/>
      <c r="F758"/>
      <c r="G758"/>
      <c r="H758"/>
      <c r="I758"/>
      <c r="J758"/>
      <c r="K758"/>
      <c r="L758"/>
      <c r="M758"/>
      <c r="N758"/>
      <c r="O758"/>
    </row>
    <row r="759" spans="3:15" ht="15" customHeight="1">
      <c r="C759"/>
      <c r="D759"/>
      <c r="E759"/>
      <c r="F759"/>
      <c r="G759"/>
      <c r="H759"/>
      <c r="I759"/>
      <c r="J759"/>
      <c r="K759"/>
      <c r="L759"/>
      <c r="M759"/>
      <c r="N759"/>
      <c r="O759"/>
    </row>
    <row r="760" spans="3:15" ht="15" customHeight="1">
      <c r="C760"/>
      <c r="D760"/>
      <c r="E760"/>
      <c r="F760"/>
      <c r="G760"/>
      <c r="H760"/>
      <c r="I760"/>
      <c r="J760"/>
      <c r="K760"/>
      <c r="L760"/>
      <c r="M760"/>
      <c r="N760"/>
      <c r="O760"/>
    </row>
    <row r="761" spans="3:15" ht="15" customHeight="1">
      <c r="C761"/>
      <c r="D761"/>
      <c r="E761"/>
      <c r="F761"/>
      <c r="G761"/>
      <c r="H761"/>
      <c r="I761"/>
      <c r="J761"/>
      <c r="K761"/>
      <c r="L761"/>
      <c r="M761"/>
      <c r="N761"/>
      <c r="O761"/>
    </row>
    <row r="762" spans="3:15" ht="15" customHeight="1">
      <c r="C762"/>
      <c r="D762"/>
      <c r="E762"/>
      <c r="F762"/>
      <c r="G762"/>
      <c r="H762"/>
      <c r="I762"/>
      <c r="J762"/>
      <c r="K762"/>
      <c r="L762"/>
      <c r="M762"/>
      <c r="N762"/>
      <c r="O762"/>
    </row>
    <row r="763" spans="3:15" ht="15" customHeight="1">
      <c r="C763"/>
      <c r="D763"/>
      <c r="E763"/>
      <c r="F763"/>
      <c r="G763"/>
      <c r="H763"/>
      <c r="I763"/>
      <c r="J763"/>
      <c r="K763"/>
      <c r="L763"/>
      <c r="M763"/>
      <c r="N763"/>
      <c r="O763"/>
    </row>
    <row r="764" spans="3:15" ht="15" customHeight="1">
      <c r="C764"/>
      <c r="D764"/>
      <c r="E764"/>
      <c r="F764"/>
      <c r="G764"/>
      <c r="H764"/>
      <c r="I764"/>
      <c r="J764"/>
      <c r="K764"/>
      <c r="L764"/>
      <c r="M764"/>
      <c r="N764"/>
      <c r="O764"/>
    </row>
    <row r="765" spans="3:15" ht="15" customHeight="1">
      <c r="C765"/>
      <c r="D765"/>
      <c r="E765"/>
      <c r="F765"/>
      <c r="G765"/>
      <c r="H765"/>
      <c r="I765"/>
      <c r="J765"/>
      <c r="K765"/>
      <c r="L765"/>
      <c r="M765"/>
      <c r="N765"/>
      <c r="O765"/>
    </row>
    <row r="766" spans="3:15" ht="15" customHeight="1">
      <c r="C766"/>
      <c r="D766"/>
      <c r="E766"/>
      <c r="F766"/>
      <c r="G766"/>
      <c r="H766"/>
      <c r="I766"/>
      <c r="J766"/>
      <c r="K766"/>
      <c r="L766"/>
      <c r="M766"/>
      <c r="N766"/>
      <c r="O766"/>
    </row>
    <row r="767" spans="3:15" ht="15" customHeight="1">
      <c r="C767"/>
      <c r="D767"/>
      <c r="E767"/>
      <c r="F767"/>
      <c r="G767"/>
      <c r="H767"/>
      <c r="I767"/>
      <c r="J767"/>
      <c r="K767"/>
      <c r="L767"/>
      <c r="M767"/>
      <c r="N767"/>
      <c r="O767"/>
    </row>
    <row r="768" spans="3:15" ht="15" customHeight="1">
      <c r="C768"/>
      <c r="D768"/>
      <c r="E768"/>
      <c r="F768"/>
      <c r="G768"/>
      <c r="H768"/>
      <c r="I768"/>
      <c r="J768"/>
      <c r="K768"/>
      <c r="L768"/>
      <c r="M768"/>
      <c r="N768"/>
      <c r="O768"/>
    </row>
    <row r="769" spans="3:15" ht="15" customHeight="1">
      <c r="C769"/>
      <c r="D769"/>
      <c r="E769"/>
      <c r="F769"/>
      <c r="G769"/>
      <c r="H769"/>
      <c r="I769"/>
      <c r="J769"/>
      <c r="K769"/>
      <c r="L769"/>
      <c r="M769"/>
      <c r="N769"/>
      <c r="O769"/>
    </row>
    <row r="770" spans="3:15" ht="15" customHeight="1">
      <c r="C770"/>
      <c r="D770"/>
      <c r="E770"/>
      <c r="F770"/>
      <c r="G770"/>
      <c r="H770"/>
      <c r="I770"/>
      <c r="J770"/>
      <c r="K770"/>
      <c r="L770"/>
      <c r="M770"/>
      <c r="N770"/>
      <c r="O770"/>
    </row>
    <row r="771" spans="3:15" ht="15" customHeight="1">
      <c r="C771"/>
      <c r="D771"/>
      <c r="E771"/>
      <c r="F771"/>
      <c r="G771"/>
      <c r="H771"/>
      <c r="I771"/>
      <c r="J771"/>
      <c r="K771"/>
      <c r="L771"/>
      <c r="M771"/>
      <c r="N771"/>
      <c r="O771"/>
    </row>
    <row r="772" spans="3:15" ht="15" customHeight="1">
      <c r="C772"/>
      <c r="D772"/>
      <c r="E772"/>
      <c r="F772"/>
      <c r="G772"/>
      <c r="H772"/>
      <c r="I772"/>
      <c r="J772"/>
      <c r="K772"/>
      <c r="L772"/>
      <c r="M772"/>
      <c r="N772"/>
      <c r="O772"/>
    </row>
    <row r="773" spans="3:15" ht="15" customHeight="1">
      <c r="C773"/>
      <c r="D773"/>
      <c r="E773"/>
      <c r="F773"/>
      <c r="G773"/>
      <c r="H773"/>
      <c r="I773"/>
      <c r="J773"/>
      <c r="K773"/>
      <c r="L773"/>
      <c r="M773"/>
      <c r="N773"/>
      <c r="O773"/>
    </row>
    <row r="774" spans="3:15" ht="15" customHeight="1">
      <c r="C774"/>
      <c r="D774"/>
      <c r="E774"/>
      <c r="F774"/>
      <c r="G774"/>
      <c r="H774"/>
      <c r="I774"/>
      <c r="J774"/>
      <c r="K774"/>
      <c r="L774"/>
      <c r="M774"/>
      <c r="N774"/>
      <c r="O774"/>
    </row>
    <row r="775" spans="3:15" ht="15" customHeight="1">
      <c r="C775"/>
      <c r="D775"/>
      <c r="E775"/>
      <c r="F775"/>
      <c r="G775"/>
      <c r="H775"/>
      <c r="I775"/>
      <c r="J775"/>
      <c r="K775"/>
      <c r="L775"/>
      <c r="M775"/>
      <c r="N775"/>
      <c r="O775"/>
    </row>
    <row r="776" spans="3:15" ht="15" customHeight="1">
      <c r="C776"/>
      <c r="D776"/>
      <c r="E776"/>
      <c r="F776"/>
      <c r="G776"/>
      <c r="H776"/>
      <c r="I776"/>
      <c r="J776"/>
      <c r="K776"/>
      <c r="L776"/>
      <c r="M776"/>
      <c r="N776"/>
      <c r="O776"/>
    </row>
    <row r="777" spans="3:15" ht="15" customHeight="1">
      <c r="C777"/>
      <c r="D777"/>
      <c r="E777"/>
      <c r="F777"/>
      <c r="G777"/>
      <c r="H777"/>
      <c r="I777"/>
      <c r="J777"/>
      <c r="K777"/>
      <c r="L777"/>
      <c r="M777"/>
      <c r="N777"/>
      <c r="O777"/>
    </row>
    <row r="778" spans="3:15" ht="15" customHeight="1">
      <c r="C778"/>
      <c r="D778"/>
      <c r="E778"/>
      <c r="F778"/>
      <c r="G778"/>
      <c r="H778"/>
      <c r="I778"/>
      <c r="J778"/>
      <c r="K778"/>
      <c r="L778"/>
      <c r="M778"/>
      <c r="N778"/>
      <c r="O778"/>
    </row>
    <row r="779" spans="3:15" ht="15" customHeight="1">
      <c r="C779"/>
      <c r="D779"/>
      <c r="E779"/>
      <c r="F779"/>
      <c r="G779"/>
      <c r="H779"/>
      <c r="I779"/>
      <c r="J779"/>
      <c r="K779"/>
      <c r="L779"/>
      <c r="M779"/>
      <c r="N779"/>
      <c r="O779"/>
    </row>
    <row r="780" spans="3:15" ht="15" customHeight="1">
      <c r="C780"/>
      <c r="D780"/>
      <c r="E780"/>
      <c r="F780"/>
      <c r="G780"/>
      <c r="H780"/>
      <c r="I780"/>
      <c r="J780"/>
      <c r="K780"/>
      <c r="L780"/>
      <c r="M780"/>
      <c r="N780"/>
      <c r="O780"/>
    </row>
    <row r="781" spans="3:15" ht="15" customHeight="1">
      <c r="C781"/>
      <c r="D781"/>
      <c r="E781"/>
      <c r="F781"/>
      <c r="G781"/>
      <c r="H781"/>
      <c r="I781"/>
      <c r="J781"/>
      <c r="K781"/>
      <c r="L781"/>
      <c r="M781"/>
      <c r="N781"/>
      <c r="O781"/>
    </row>
    <row r="782" spans="3:15" ht="15" customHeight="1">
      <c r="C782"/>
      <c r="D782"/>
      <c r="E782"/>
      <c r="F782"/>
      <c r="G782"/>
      <c r="H782"/>
      <c r="I782"/>
      <c r="J782"/>
      <c r="K782"/>
      <c r="L782"/>
      <c r="M782"/>
      <c r="N782"/>
      <c r="O782"/>
    </row>
    <row r="783" spans="3:15" ht="15" customHeight="1">
      <c r="C783"/>
      <c r="D783"/>
      <c r="E783"/>
      <c r="F783"/>
      <c r="G783"/>
      <c r="H783"/>
      <c r="I783"/>
      <c r="J783"/>
      <c r="K783"/>
      <c r="L783"/>
      <c r="M783"/>
      <c r="N783"/>
      <c r="O783"/>
    </row>
    <row r="784" spans="3:15" ht="15" customHeight="1">
      <c r="C784"/>
      <c r="D784"/>
      <c r="E784"/>
      <c r="F784"/>
      <c r="G784"/>
      <c r="H784"/>
      <c r="I784"/>
      <c r="J784"/>
      <c r="K784"/>
      <c r="L784"/>
      <c r="M784"/>
      <c r="N784"/>
      <c r="O784"/>
    </row>
    <row r="785" spans="3:15" ht="15" customHeight="1"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3:15" ht="15" customHeight="1"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3:15" ht="15" customHeight="1"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3:15" ht="15" customHeight="1"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3:15" ht="15" customHeight="1">
      <c r="C789"/>
      <c r="D789"/>
      <c r="E789"/>
      <c r="F789"/>
      <c r="G789"/>
      <c r="H789"/>
      <c r="I789"/>
      <c r="J789"/>
      <c r="K789"/>
      <c r="L789"/>
      <c r="M789"/>
      <c r="N789"/>
      <c r="O789"/>
    </row>
  </sheetData>
  <conditionalFormatting pivot="1" sqref="M9:M11">
    <cfRule type="colorScale" priority="2">
      <colorScale>
        <cfvo type="num" val="0"/>
        <cfvo type="num" val="0.2"/>
        <color rgb="FF262626"/>
        <color rgb="FF7A0000"/>
      </colorScale>
    </cfRule>
  </conditionalFormatting>
  <conditionalFormatting pivot="1" sqref="N9:N11">
    <cfRule type="colorScale" priority="1">
      <colorScale>
        <cfvo type="num" val="0"/>
        <cfvo type="num" val="0.2"/>
        <color rgb="FF262626"/>
        <color rgb="FF7A0000"/>
      </colorScale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AF8-C53E-48B7-8625-1AC9E9368DD1}">
  <sheetPr codeName="Sheet5"/>
  <dimension ref="B2:P17"/>
  <sheetViews>
    <sheetView zoomScale="85" zoomScaleNormal="85" workbookViewId="0">
      <selection activeCell="C8" sqref="C8"/>
    </sheetView>
  </sheetViews>
  <sheetFormatPr defaultRowHeight="14.4"/>
  <cols>
    <col min="1" max="1" width="2.77734375" style="48" customWidth="1"/>
    <col min="2" max="2" width="2.77734375" style="49" customWidth="1"/>
    <col min="3" max="3" width="78.6640625" style="54" customWidth="1"/>
    <col min="4" max="4" width="31.88671875" style="48" customWidth="1"/>
    <col min="5" max="16384" width="8.88671875" style="48"/>
  </cols>
  <sheetData>
    <row r="2" spans="2:16" ht="43.2" customHeight="1">
      <c r="C2" s="47" t="s">
        <v>44</v>
      </c>
      <c r="P2"/>
    </row>
    <row r="3" spans="2:16" ht="4.95" customHeight="1">
      <c r="B3" s="48"/>
      <c r="C3" s="50"/>
      <c r="P3" s="51"/>
    </row>
    <row r="4" spans="2:16" ht="19.95" customHeight="1">
      <c r="B4" s="48"/>
      <c r="C4" s="50"/>
      <c r="P4" s="52"/>
    </row>
    <row r="5" spans="2:16" ht="4.95" customHeight="1">
      <c r="B5" s="48"/>
      <c r="C5" s="50"/>
    </row>
    <row r="6" spans="2:16" ht="34.950000000000003" customHeight="1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</row>
    <row r="7" spans="2:16" ht="15" customHeight="1">
      <c r="B7" s="48"/>
      <c r="C7" s="48"/>
    </row>
    <row r="8" spans="2:16" ht="15" customHeight="1">
      <c r="C8" s="53"/>
    </row>
    <row r="9" spans="2:16" ht="19.2" customHeight="1">
      <c r="B9" s="48"/>
      <c r="C9" s="50"/>
    </row>
    <row r="16" spans="2:16">
      <c r="C16" s="48"/>
    </row>
    <row r="17" spans="2:2" s="48" customFormat="1">
      <c r="B17" s="4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B964-5183-48E8-9EB0-23FD2468B797}">
  <sheetPr codeName="Sheet4"/>
  <dimension ref="A2:P20"/>
  <sheetViews>
    <sheetView zoomScale="85" zoomScaleNormal="85" workbookViewId="0">
      <selection activeCell="C8" sqref="C8"/>
    </sheetView>
  </sheetViews>
  <sheetFormatPr defaultRowHeight="14.4"/>
  <cols>
    <col min="1" max="1" width="3" style="48" customWidth="1"/>
    <col min="2" max="2" width="2.77734375" style="49" customWidth="1"/>
    <col min="3" max="3" width="53.33203125" style="54" customWidth="1"/>
    <col min="4" max="4" width="27.77734375" style="48" customWidth="1"/>
    <col min="5" max="16" width="8.88671875" style="48"/>
  </cols>
  <sheetData>
    <row r="2" spans="1:16" ht="51.6" customHeight="1">
      <c r="B2" s="55"/>
      <c r="C2" s="47" t="s">
        <v>45</v>
      </c>
      <c r="D2"/>
      <c r="P2"/>
    </row>
    <row r="3" spans="1:16" ht="4.95" customHeight="1">
      <c r="B3" s="55"/>
      <c r="C3" s="56"/>
      <c r="D3" s="57"/>
      <c r="P3" s="51"/>
    </row>
    <row r="4" spans="1:16" ht="19.95" customHeight="1">
      <c r="B4" s="55"/>
      <c r="C4" s="56"/>
      <c r="D4" s="57"/>
      <c r="P4" s="52"/>
    </row>
    <row r="5" spans="1:16" ht="4.95" customHeight="1">
      <c r="B5" s="48"/>
      <c r="C5" s="50"/>
    </row>
    <row r="6" spans="1:16" ht="30" customHeight="1">
      <c r="A6"/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</row>
    <row r="7" spans="1:16" ht="10.050000000000001" customHeight="1">
      <c r="B7" s="48"/>
      <c r="C7" s="50"/>
    </row>
    <row r="8" spans="1:16" ht="10.050000000000001" customHeight="1">
      <c r="B8" s="51"/>
      <c r="D8" s="54"/>
    </row>
    <row r="9" spans="1:16" ht="150" customHeight="1">
      <c r="B9" s="58"/>
      <c r="C9" s="59"/>
    </row>
    <row r="10" spans="1:16" ht="10.050000000000001" customHeight="1">
      <c r="B10" s="60"/>
    </row>
    <row r="11" spans="1:16" collapsed="1"/>
    <row r="13" spans="1:16">
      <c r="C13" s="48"/>
    </row>
    <row r="14" spans="1:16">
      <c r="C14" s="48"/>
    </row>
    <row r="15" spans="1:16">
      <c r="C15" s="48"/>
    </row>
    <row r="16" spans="1:16">
      <c r="C16" s="48"/>
    </row>
    <row r="19" spans="3:3">
      <c r="C19" s="48"/>
    </row>
    <row r="20" spans="3:3">
      <c r="C20" s="4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BB63E-9CA3-466B-AD4C-DEA2C62C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46</vt:i4>
      </vt:variant>
    </vt:vector>
  </HeadingPairs>
  <TitlesOfParts>
    <vt:vector size="51" baseType="lpstr">
      <vt:lpstr>Overview</vt:lpstr>
      <vt:lpstr>Field Analysis</vt:lpstr>
      <vt:lpstr>Pivot</vt:lpstr>
      <vt:lpstr>SinglePlot</vt:lpstr>
      <vt:lpstr>MultiplePlots</vt:lpstr>
      <vt:lpstr>Compiled_Lists</vt:lpstr>
      <vt:lpstr>Composition</vt:lpstr>
      <vt:lpstr>CompositionTable</vt:lpstr>
      <vt:lpstr>DarkHeader</vt:lpstr>
      <vt:lpstr>Data_Description</vt:lpstr>
      <vt:lpstr>Pivot!DefaultWarn</vt:lpstr>
      <vt:lpstr>Definitions</vt:lpstr>
      <vt:lpstr>Description</vt:lpstr>
      <vt:lpstr>Dimensions</vt:lpstr>
      <vt:lpstr>Field_Analysis</vt:lpstr>
      <vt:lpstr>Field_Lists</vt:lpstr>
      <vt:lpstr>Field_Notes</vt:lpstr>
      <vt:lpstr>FieldList1</vt:lpstr>
      <vt:lpstr>FieldList2</vt:lpstr>
      <vt:lpstr>FieldList3</vt:lpstr>
      <vt:lpstr>FieldList4</vt:lpstr>
      <vt:lpstr>FieldList5</vt:lpstr>
      <vt:lpstr>FieldList6</vt:lpstr>
      <vt:lpstr>FieldList7</vt:lpstr>
      <vt:lpstr>FieldList8</vt:lpstr>
      <vt:lpstr>FieldLists</vt:lpstr>
      <vt:lpstr>FieldRange</vt:lpstr>
      <vt:lpstr>FormatRange</vt:lpstr>
      <vt:lpstr>Headers</vt:lpstr>
      <vt:lpstr>Headers_Start</vt:lpstr>
      <vt:lpstr>Histogram</vt:lpstr>
      <vt:lpstr>LightHeader</vt:lpstr>
      <vt:lpstr>Metadata</vt:lpstr>
      <vt:lpstr>MultiplePlots!MultiplePlots</vt:lpstr>
      <vt:lpstr>MultiplePlots!MultiplePlotsTitle</vt:lpstr>
      <vt:lpstr>Name</vt:lpstr>
      <vt:lpstr>Notes</vt:lpstr>
      <vt:lpstr>Percentiles</vt:lpstr>
      <vt:lpstr>RecordHashes</vt:lpstr>
      <vt:lpstr>SerializedLists</vt:lpstr>
      <vt:lpstr>SinglePlot!SinglePlot</vt:lpstr>
      <vt:lpstr>SinglePlot!SinglePlotTitle</vt:lpstr>
      <vt:lpstr>Summary_Stats</vt:lpstr>
      <vt:lpstr>'Field Analysis'!Theme</vt:lpstr>
      <vt:lpstr>MultiplePlots!Theme</vt:lpstr>
      <vt:lpstr>Overview!Theme</vt:lpstr>
      <vt:lpstr>Pivot!Theme</vt:lpstr>
      <vt:lpstr>SinglePlot!Theme</vt:lpstr>
      <vt:lpstr>Toggles</vt:lpstr>
      <vt:lpstr>TopToggle</vt:lpstr>
      <vt:lpstr>Warning</vt:lpstr>
    </vt:vector>
  </TitlesOfParts>
  <Company>Information Designers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DarkTemplate</dc:title>
  <dc:creator>Michael Rivers</dc:creator>
  <cp:lastModifiedBy>Michael Rivers</cp:lastModifiedBy>
  <dcterms:created xsi:type="dcterms:W3CDTF">2025-12-28T23:38:43Z</dcterms:created>
  <dcterms:modified xsi:type="dcterms:W3CDTF">2026-05-30T04:26:41Z</dcterms:modified>
</cp:coreProperties>
</file>