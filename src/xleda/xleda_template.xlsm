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pivotTables/pivotTable1.xml" ContentType="application/vnd.openxmlformats-officedocument.spreadsheetml.pivotTable+xml"/>
  <Override PartName="/xl/tables/table1.xml" ContentType="application/vnd.openxmlformats-officedocument.spreadsheetml.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3.xml" ContentType="application/vnd.openxmlformats-officedocument.drawing+xml"/>
  <Override PartName="/xl/tables/table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mc:AlternateContent xmlns:mc="http://schemas.openxmlformats.org/markup-compatibility/2006">
    <mc:Choice Requires="x15">
      <x15ac:absPath xmlns:x15ac="http://schemas.microsoft.com/office/spreadsheetml/2010/11/ac" url="D:\Python\.xleda\src\xleda\"/>
    </mc:Choice>
  </mc:AlternateContent>
  <xr:revisionPtr revIDLastSave="0" documentId="13_ncr:1_{6E2B2CEF-A37A-4946-AC06-77AD78DA230E}" xr6:coauthVersionLast="47" xr6:coauthVersionMax="47" xr10:uidLastSave="{00000000-0000-0000-0000-000000000000}"/>
  <bookViews>
    <workbookView xWindow="-23148" yWindow="516" windowWidth="23256" windowHeight="12456" tabRatio="788" firstSheet="2" activeTab="3" xr2:uid="{040F3586-419E-4585-8ACE-6588AD7C95BD}"/>
  </bookViews>
  <sheets>
    <sheet name="meta" sheetId="67" state="hidden" r:id="rId1"/>
    <sheet name="SinglePlot" sheetId="30" state="hidden" r:id="rId2"/>
    <sheet name="Pivot" sheetId="68" r:id="rId3"/>
    <sheet name="|" sheetId="27" r:id="rId4"/>
    <sheet name="Field Analysis" sheetId="25" r:id="rId5"/>
  </sheets>
  <functionGroups builtInGroupCount="19"/>
  <definedNames>
    <definedName name="Back">tbl_DfOverview[[#Headers],[Dataframe]]</definedName>
    <definedName name="Compiled_Lists" localSheetId="4">'Field Analysis'!$C$71:$C$80</definedName>
    <definedName name="Composition" localSheetId="4">'Field Analysis'!$C$25:$C$35</definedName>
    <definedName name="CompositionTable" localSheetId="4">'Field Analysis'!$D$34</definedName>
    <definedName name="DarkHeader" localSheetId="4">'Field Analysis'!$D$81</definedName>
    <definedName name="Data_Description" localSheetId="4">'Field Analysis'!$C$9:$C$20</definedName>
    <definedName name="Dataframes">'|'!$C$78:$C$81</definedName>
    <definedName name="Debug" localSheetId="3">'|'!$D$8:$E$74</definedName>
    <definedName name="Definitions" localSheetId="4">'Field Analysis'!$D$17:$F$17</definedName>
    <definedName name="Description" localSheetId="4">'Field Analysis'!$D$9</definedName>
    <definedName name="Dimensions" localSheetId="4">'Field Analysis'!$D$11</definedName>
    <definedName name="Field_Analysis" localSheetId="4">'Field Analysis'!$D$22:$D$80</definedName>
    <definedName name="Field_Lists" localSheetId="4">'Field Analysis'!$C$60:$C$68</definedName>
    <definedName name="Field_Overview">tbl_FieldOverview[[#All],[Field]]</definedName>
    <definedName name="FieldList1" localSheetId="4">'Field Analysis'!$D$60:$F$60</definedName>
    <definedName name="FieldList2" localSheetId="4">'Field Analysis'!$D$61:$F$61</definedName>
    <definedName name="FieldList3" localSheetId="4">'Field Analysis'!$D$62:$F$62</definedName>
    <definedName name="FieldList4" localSheetId="4">'Field Analysis'!$D$63:$F$63</definedName>
    <definedName name="FieldList5" localSheetId="4">'Field Analysis'!$D$64:$F$64</definedName>
    <definedName name="FieldList6" localSheetId="4">'Field Analysis'!$D$65:$F$65</definedName>
    <definedName name="FieldList7" localSheetId="4">'Field Analysis'!$D$66:$F$66</definedName>
    <definedName name="FieldList8" localSheetId="4">'Field Analysis'!$D$67:$F$67</definedName>
    <definedName name="FieldLists" localSheetId="4">'Field Analysis'!$C$60:$F$67</definedName>
    <definedName name="FieldRange" localSheetId="4">'Field Analysis'!$D$81:$F$81</definedName>
    <definedName name="Fields">tbl_FieldOverview[[#All],[Dataframe]]</definedName>
    <definedName name="FormatRange" localSheetId="4">'Field Analysis'!$F:$F</definedName>
    <definedName name="Headers" localSheetId="4">'Field Analysis'!$D$21:$F$21</definedName>
    <definedName name="Headers_Start" localSheetId="4">'Field Analysis'!$D$21</definedName>
    <definedName name="Histogram" localSheetId="4">'Field Analysis'!$D$44</definedName>
    <definedName name="LightHeader" localSheetId="4">'Field Analysis'!$C$81</definedName>
    <definedName name="Name" localSheetId="3">'|'!$C$3</definedName>
    <definedName name="Name" localSheetId="4">'Field Analysis'!$C$5</definedName>
    <definedName name="Name" localSheetId="2">Pivot!$C$4</definedName>
    <definedName name="Name" localSheetId="1">SinglePlot!$C$4</definedName>
    <definedName name="Notes" localSheetId="4">'Field Analysis'!$D$19:$F$19</definedName>
    <definedName name="Percentiles" localSheetId="4">'Field Analysis'!$C$48:$C$57</definedName>
    <definedName name="Performance">#REF!</definedName>
    <definedName name="PivotControls" localSheetId="2">Pivot!$C$8:$C$12</definedName>
    <definedName name="PivotFiltersStart" localSheetId="2">Pivot!$C$27</definedName>
    <definedName name="PivotTableFilters" localSheetId="2">Pivot!$C$27:$C$38</definedName>
    <definedName name="SelectedSheet">meta!$F$2</definedName>
    <definedName name="SelectedTable">meta!$G$2</definedName>
    <definedName name="SerializedLists" localSheetId="4">'Field Analysis'!$D$71:$D$80</definedName>
    <definedName name="SinglePlot" localSheetId="1">SinglePlot!$C$10</definedName>
    <definedName name="Slicer_DarkHeader">#N/A</definedName>
    <definedName name="Slicer_FormatRange">#N/A</definedName>
    <definedName name="Slicer_HasBlank">#N/A</definedName>
    <definedName name="Slicer_Record_List">#N/A</definedName>
    <definedName name="Slicer_WorksheetName">#N/A</definedName>
    <definedName name="Summary_Stats" localSheetId="4">'Field Analysis'!$C$38:$C$45</definedName>
    <definedName name="TableSelector">Pivot!$C$15:$C$24</definedName>
    <definedName name="Theme" localSheetId="3">'|'!$E$85:$AD$85</definedName>
    <definedName name="Theme" localSheetId="4">'Field Analysis'!$B$21:$F$21</definedName>
    <definedName name="Theme" localSheetId="1">SinglePlot!$B$8:$P$8</definedName>
    <definedName name="Toggles" localSheetId="4">'Field Analysis'!$B$7,'Field Analysis'!$B$23,'Field Analysis'!$B$36,'Field Analysis'!$B$46,'Field Analysis'!$B$58,'Field Analysis'!$B$69</definedName>
    <definedName name="TopToggle" localSheetId="4">'Field Analysis'!$B$5</definedName>
    <definedName name="Warning" localSheetId="3">'|'!$C$1</definedName>
    <definedName name="Warning" localSheetId="4">'Field Analysis'!$D$1</definedName>
  </definedNames>
  <calcPr calcId="191029" iterateDelta="1E-4"/>
  <pivotCaches>
    <pivotCache cacheId="0" r:id="rId6"/>
    <pivotCache cacheId="6" r:id="rId7"/>
  </pivotCaches>
  <extLst>
    <ext xmlns:x14="http://schemas.microsoft.com/office/spreadsheetml/2009/9/main" uri="{8193D73E-4604-4355-AFF4-8A2333D13BE4}">
      <x14:definedNames>
        <x14:definedName name="PythonDict">
          <x14:argumentDescriptions count="1">
            <x14:argumentDescription index="0">Range: A two column range</x14:argumentDescription>
          </x14:argumentDescriptions>
        </x14:definedName>
        <x14:definedName name="PythonList">
          <x14:argumentDescriptions count="1">
            <x14:argumentDescription index="0">Range: A range of any size</x14:argumentDescription>
          </x14:argumentDescriptions>
        </x14:definedName>
      </x14:definedNames>
    </ext>
    <ext xmlns:x14="http://schemas.microsoft.com/office/spreadsheetml/2009/9/main" uri="{BBE1A952-AA13-448e-AADC-164F8A28A991}">
      <x14:slicerCaches>
        <x14:slicerCache r:id="rId8"/>
        <x14:slicerCache r:id="rId9"/>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D79" i="25" l="1" a="1"/>
  <c r="D79" i="25" s="1"/>
  <c r="C79" i="25"/>
  <c r="D78" i="25" l="1" a="1"/>
  <c r="D78" i="25" s="1"/>
  <c r="C78" i="25"/>
  <c r="D77" i="25" a="1"/>
  <c r="D77" i="25" s="1"/>
  <c r="C77" i="25"/>
  <c r="D76" i="25"/>
  <c r="C76" i="25"/>
  <c r="D75" i="25"/>
  <c r="C75" i="25"/>
  <c r="D74" i="25"/>
  <c r="C74" i="25"/>
  <c r="D73" i="25"/>
  <c r="C73" i="25"/>
  <c r="D72" i="25"/>
  <c r="C72" i="25"/>
  <c r="D71" i="25"/>
  <c r="C71" i="25"/>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<sst xmlns="http://schemas.openxmlformats.org/spreadsheetml/2006/main" count="175" uniqueCount="124">
  <si>
    <t>Warning</t>
  </si>
  <si>
    <t>Field Notes</t>
  </si>
  <si>
    <t>Definitions</t>
  </si>
  <si>
    <t>Notes</t>
  </si>
  <si>
    <t xml:space="preserve"> </t>
  </si>
  <si>
    <t>Data Description</t>
  </si>
  <si>
    <t>Rows</t>
  </si>
  <si>
    <t>Composition</t>
  </si>
  <si>
    <t>Data type</t>
  </si>
  <si>
    <t>Distinct %</t>
  </si>
  <si>
    <t>Missing %</t>
  </si>
  <si>
    <t>Memory Usage %</t>
  </si>
  <si>
    <t>Memory Usage</t>
  </si>
  <si>
    <t>Distinct</t>
  </si>
  <si>
    <t>Count</t>
  </si>
  <si>
    <t>Missing</t>
  </si>
  <si>
    <t>Summary Stats</t>
  </si>
  <si>
    <t>Mean</t>
  </si>
  <si>
    <t>Median</t>
  </si>
  <si>
    <t>Mode</t>
  </si>
  <si>
    <t>Standard Deviation</t>
  </si>
  <si>
    <t>Variance</t>
  </si>
  <si>
    <t>Percentiles</t>
  </si>
  <si>
    <t>Min</t>
  </si>
  <si>
    <t>Max</t>
  </si>
  <si>
    <t>Range</t>
  </si>
  <si>
    <t>IQR</t>
  </si>
  <si>
    <t>Field Lists</t>
  </si>
  <si>
    <t>FieldList1</t>
  </si>
  <si>
    <t>FieldList2</t>
  </si>
  <si>
    <t>FieldList3</t>
  </si>
  <si>
    <t>FieldList4</t>
  </si>
  <si>
    <t>FieldList5</t>
  </si>
  <si>
    <t>FieldList6</t>
  </si>
  <si>
    <t>FIeldList7</t>
  </si>
  <si>
    <t>FIeldList8</t>
  </si>
  <si>
    <t>Compiled Lists</t>
  </si>
  <si>
    <t>Record List</t>
  </si>
  <si>
    <t>HasBlank</t>
  </si>
  <si>
    <t>Field</t>
  </si>
  <si>
    <t>Definition</t>
  </si>
  <si>
    <t>Count %</t>
  </si>
  <si>
    <t>5%</t>
  </si>
  <si>
    <t>25%</t>
  </si>
  <si>
    <t>50%</t>
  </si>
  <si>
    <t>75%</t>
  </si>
  <si>
    <t>95%</t>
  </si>
  <si>
    <t>Note</t>
  </si>
  <si>
    <t>SinglePlotTitle</t>
  </si>
  <si>
    <t>Columns</t>
  </si>
  <si>
    <t>Distinct Record %</t>
  </si>
  <si>
    <t>Missing Values %</t>
  </si>
  <si>
    <t>Dataset Description</t>
  </si>
  <si>
    <t>Environment Details</t>
  </si>
  <si>
    <t>Configuration Details</t>
  </si>
  <si>
    <t>Environment Variable</t>
  </si>
  <si>
    <t>Value</t>
  </si>
  <si>
    <t>Production Section</t>
  </si>
  <si>
    <t>Production Time in Seconds</t>
  </si>
  <si>
    <t>% of Production Time</t>
  </si>
  <si>
    <t>Creating Workbook</t>
  </si>
  <si>
    <t>Adding Source Data</t>
  </si>
  <si>
    <t>Adding Plots</t>
  </si>
  <si>
    <t>Configuring Workbook</t>
  </si>
  <si>
    <t>Input Argument</t>
  </si>
  <si>
    <t>Error Type</t>
  </si>
  <si>
    <t>Detail</t>
  </si>
  <si>
    <t>►</t>
  </si>
  <si>
    <t>os</t>
  </si>
  <si>
    <t>env_type</t>
  </si>
  <si>
    <t>excel_version</t>
  </si>
  <si>
    <t>debug</t>
  </si>
  <si>
    <t>compatible</t>
  </si>
  <si>
    <t>junk_drawer</t>
  </si>
  <si>
    <t>date</t>
  </si>
  <si>
    <t>os_release</t>
  </si>
  <si>
    <t>os_version</t>
  </si>
  <si>
    <t>architecture</t>
  </si>
  <si>
    <t>processor</t>
  </si>
  <si>
    <t>python_version</t>
  </si>
  <si>
    <t>python_implementation</t>
  </si>
  <si>
    <t>console_columns</t>
  </si>
  <si>
    <t>console_lines</t>
  </si>
  <si>
    <t>name</t>
  </si>
  <si>
    <t>dataframes</t>
  </si>
  <si>
    <t>plots</t>
  </si>
  <si>
    <t>theme_color</t>
  </si>
  <si>
    <t>large_report</t>
  </si>
  <si>
    <t>overwrite</t>
  </si>
  <si>
    <t>wb_path</t>
  </si>
  <si>
    <t>open_wb</t>
  </si>
  <si>
    <t>no_vba</t>
  </si>
  <si>
    <t>export</t>
  </si>
  <si>
    <t>Configure Template</t>
  </si>
  <si>
    <t>Adding Field Metadata</t>
  </si>
  <si>
    <t>Adding Overview</t>
  </si>
  <si>
    <t>Configure Pivots</t>
  </si>
  <si>
    <t>Overview</t>
  </si>
  <si>
    <t>Dataframe</t>
  </si>
  <si>
    <t>Dataframes</t>
  </si>
  <si>
    <t>Fields</t>
  </si>
  <si>
    <t>Memory Usage (bytes)</t>
  </si>
  <si>
    <t>Fields Defined %</t>
  </si>
  <si>
    <t>tbl_SourceData</t>
  </si>
  <si>
    <t>WorksheetName</t>
  </si>
  <si>
    <t>TableName</t>
  </si>
  <si>
    <t>Show Pivot Filters</t>
  </si>
  <si>
    <t>Has Blank %</t>
  </si>
  <si>
    <t>% of Total Blanks</t>
  </si>
  <si>
    <t>% of Records</t>
  </si>
  <si>
    <t>_</t>
  </si>
  <si>
    <t xml:space="preserve"> Overview ↩</t>
  </si>
  <si>
    <t>Dataset description</t>
  </si>
  <si>
    <t>DarkHeader</t>
  </si>
  <si>
    <t>FormatRange</t>
  </si>
  <si>
    <t>Debug</t>
  </si>
  <si>
    <t>Name</t>
  </si>
  <si>
    <t>Field Analysis</t>
  </si>
  <si>
    <t>(blank)</t>
  </si>
  <si>
    <t>Source Table Selector</t>
  </si>
  <si>
    <t>Backup Pivot Controls</t>
  </si>
  <si>
    <t>If the 'Source Table Selector' doesn't automatically update the pivot table, use this</t>
  </si>
  <si>
    <t>Production Errors</t>
  </si>
  <si>
    <t>Production Performance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</si>
</sst>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0.0"/>
  </numFmts>
  <fonts count="45">
    <font>
      <sz val="11"/>
      <color theme="0"/>
      <name val="Calibri"/>
      <family val="2"/>
      <scheme val="minor"/>
    </font>
    <font>
      <u/>
      <sz val="10"/>
      <color theme="0"/>
      <name val="Calibri"/>
      <family val="2"/>
      <scheme val="minor"/>
    </font>
    <font>
      <b/>
      <i/>
      <sz val="10"/>
      <color rgb="FFDCE6F2"/>
      <name val="Calibri"/>
      <family val="2"/>
      <scheme val="minor"/>
    </font>
    <font>
      <i/>
      <sz val="10"/>
      <color theme="1" tint="0.24994659260841701"/>
      <name val="Calibri"/>
      <family val="2"/>
      <scheme val="minor"/>
    </font>
    <font>
      <b/>
      <sz val="12"/>
      <color theme="0"/>
      <name val="Calibri"/>
      <family val="2"/>
      <scheme val="minor"/>
    </font>
    <font>
      <sz val="10"/>
      <color theme="0"/>
      <name val="Calibri"/>
      <family val="2"/>
    </font>
    <font>
      <b/>
      <sz val="28"/>
      <color theme="0"/>
      <name val="Calibri"/>
      <family val="2"/>
      <scheme val="minor"/>
    </font>
    <font>
      <i/>
      <sz val="11"/>
      <color theme="1" tint="0.499984740745262"/>
      <name val="Calibri"/>
      <family val="2"/>
      <scheme val="minor"/>
    </font>
    <font>
      <sz val="10"/>
      <color theme="0"/>
      <name val="Calibri"/>
      <family val="2"/>
      <scheme val="minor"/>
    </font>
    <font>
      <sz val="11"/>
      <name val="Calibri"/>
      <family val="2"/>
      <scheme val="minor"/>
    </font>
    <font>
      <i/>
      <sz val="10"/>
      <color theme="1" tint="0.39997558519241921"/>
      <name val="Calibri"/>
      <family val="2"/>
      <scheme val="minor"/>
    </font>
    <font>
      <sz val="10"/>
      <color rgb="FF000000"/>
      <name val="Calibri"/>
      <family val="2"/>
      <scheme val="minor"/>
    </font>
    <font>
      <b/>
      <sz val="16"/>
      <color rgb="FF000000"/>
      <name val="Calibri"/>
      <family val="2"/>
      <scheme val="minor"/>
    </font>
    <font>
      <i/>
      <sz val="11"/>
      <color theme="1" tint="0.39994506668294322"/>
      <name val="Calibri"/>
      <family val="2"/>
      <scheme val="minor"/>
    </font>
    <font>
      <sz val="11"/>
      <color theme="1" tint="0.39997558519241921"/>
      <name val="Calibri"/>
      <family val="2"/>
      <scheme val="minor"/>
    </font>
    <font>
      <sz val="8"/>
      <color theme="0"/>
      <name val="Calibri"/>
      <family val="2"/>
      <scheme val="minor"/>
    </font>
    <font>
      <sz val="11"/>
      <color theme="0"/>
      <name val="Calibri"/>
      <family val="2"/>
      <scheme val="minor"/>
    </font>
    <font>
      <sz val="9"/>
      <color theme="0"/>
      <name val="Calibri"/>
      <family val="2"/>
      <scheme val="minor"/>
    </font>
    <font>
      <i/>
      <sz val="10"/>
      <color theme="1" tint="0.79998168889431442"/>
      <name val="Calibri"/>
      <family val="2"/>
      <scheme val="minor"/>
    </font>
    <font>
      <b/>
      <sz val="11"/>
      <color theme="1" tint="0.79998168889431442"/>
      <name val="Calibri"/>
      <family val="2"/>
      <scheme val="minor"/>
    </font>
    <font>
      <b/>
      <sz val="16"/>
      <color theme="1" tint="0.79998168889431442"/>
      <name val="Calibri"/>
      <family val="2"/>
      <scheme val="minor"/>
    </font>
    <font>
      <sz val="11"/>
      <color theme="0"/>
      <name val="Wingdings 3"/>
      <family val="1"/>
      <charset val="2"/>
    </font>
    <font>
      <b/>
      <sz val="11"/>
      <color rgb="FFD8D8D8"/>
      <name val="Calibri"/>
      <family val="2"/>
      <scheme val="minor"/>
    </font>
    <font>
      <b/>
      <sz val="14"/>
      <color rgb="FFD8D8D8"/>
      <name val="Calibri"/>
      <family val="2"/>
      <scheme val="minor"/>
    </font>
    <font>
      <sz val="10"/>
      <color theme="1" tint="0.39997558519241921"/>
      <name val="Calibri"/>
      <family val="2"/>
      <scheme val="minor"/>
    </font>
    <font>
      <sz val="8"/>
      <color theme="1" tint="0.39997558519241921"/>
      <name val="Calibri"/>
      <family val="2"/>
      <scheme val="minor"/>
    </font>
    <font>
      <b/>
      <sz val="26"/>
      <color theme="0"/>
      <name val="Calibri"/>
      <family val="2"/>
      <scheme val="minor"/>
    </font>
    <font>
      <sz val="8"/>
      <name val="Calibri"/>
      <family val="2"/>
      <scheme val="minor"/>
    </font>
    <font>
      <b/>
      <sz val="12"/>
      <color rgb="FF898989"/>
      <name val="Calibri"/>
      <family val="2"/>
      <scheme val="minor"/>
    </font>
    <font>
      <i/>
      <sz val="11"/>
      <color rgb="FF898989"/>
      <name val="Calibri"/>
      <family val="2"/>
      <scheme val="minor"/>
    </font>
    <font>
      <b/>
      <sz val="11"/>
      <color theme="0"/>
      <name val="Calibri"/>
      <family val="2"/>
      <scheme val="minor"/>
    </font>
    <font>
      <b/>
      <i/>
      <sz val="12"/>
      <color rgb="FFDCE6F2"/>
      <name val="Calibri"/>
      <family val="2"/>
      <scheme val="minor"/>
    </font>
    <font>
      <b/>
      <i/>
      <sz val="10"/>
      <color theme="0"/>
      <name val="Calibri"/>
      <family val="2"/>
      <scheme val="minor"/>
    </font>
    <font>
      <u/>
      <sz val="10"/>
      <color theme="1" tint="0.39997558519241921"/>
      <name val="Calibri"/>
      <family val="2"/>
      <scheme val="minor"/>
    </font>
    <font>
      <b/>
      <sz val="8"/>
      <color theme="1" tint="0.39997558519241921"/>
      <name val="Calibri"/>
      <family val="2"/>
      <scheme val="minor"/>
    </font>
    <font>
      <i/>
      <sz val="11"/>
      <color theme="1" tint="0.39997558519241921"/>
      <name val="Calibri"/>
      <family val="2"/>
      <scheme val="minor"/>
    </font>
    <font>
      <sz val="24"/>
      <color theme="1" tint="0.39997558519241921"/>
      <name val="Calibri"/>
      <family val="2"/>
      <scheme val="minor"/>
    </font>
    <font>
      <b/>
      <sz val="22"/>
      <color theme="0"/>
      <name val="Calibri"/>
      <family val="2"/>
      <scheme val="minor"/>
    </font>
    <font>
      <b/>
      <i/>
      <sz val="8"/>
      <color theme="1" tint="0.39997558519241921"/>
      <name val="Calibri"/>
      <family val="2"/>
      <scheme val="minor"/>
    </font>
    <font>
      <i/>
      <sz val="8"/>
      <color theme="1" tint="0.39997558519241921"/>
      <name val="Calibri"/>
      <family val="2"/>
      <scheme val="minor"/>
    </font>
    <font>
      <b/>
      <sz val="14"/>
      <color theme="1" tint="0.39997558519241921"/>
      <name val="Calibri"/>
      <family val="2"/>
      <scheme val="minor"/>
    </font>
    <font>
      <sz val="4"/>
      <color theme="1" tint="0.39997558519241921"/>
      <name val="Calibri"/>
      <family val="2"/>
      <scheme val="minor"/>
    </font>
    <font>
      <sz val="6"/>
      <color theme="1" tint="0.39997558519241921"/>
      <name val="Calibri"/>
      <family val="2"/>
      <scheme val="minor"/>
    </font>
    <font>
      <b/>
      <i/>
      <sz val="6"/>
      <color theme="1" tint="0.39997558519241921"/>
      <name val="Calibri"/>
      <family val="2"/>
      <scheme val="minor"/>
    </font>
    <font>
      <i/>
      <sz val="6"/>
      <color theme="1" tint="0.39997558519241921"/>
      <name val="Calibri"/>
      <family val="2"/>
      <scheme val="minor"/>
    </font>
  </fonts>
  <fills count="10">
    <fill>
      <patternFill patternType="none"/>
    </fill>
    <fill>
      <patternFill patternType="gray125"/>
    </fill>
    <fill>
      <patternFill patternType="solid">
        <fgColor rgb="FF000000"/>
        <bgColor indexed="64"/>
      </patternFill>
    </fill>
    <fill>
      <patternFill patternType="solid">
        <fgColor rgb="FF000000"/>
        <bgColor theme="1" tint="0.249977111117893"/>
      </patternFill>
    </fill>
    <fill>
      <patternFill patternType="solid">
        <fgColor rgb="FFFFC000"/>
        <bgColor indexed="64"/>
      </patternFill>
    </fill>
    <fill>
      <patternFill patternType="solid">
        <fgColor theme="1" tint="-0.499984740745262"/>
        <bgColor indexed="64"/>
      </patternFill>
    </fill>
    <fill>
      <patternFill patternType="solid">
        <fgColor rgb="FF060606"/>
        <bgColor indexed="64"/>
      </patternFill>
    </fill>
    <fill>
      <patternFill patternType="solid">
        <fgColor rgb="FF262626"/>
        <bgColor indexed="64"/>
      </patternFill>
    </fill>
    <fill>
      <patternFill patternType="solid">
        <fgColor rgb="FF000000"/>
        <bgColor rgb="FF000000"/>
      </patternFill>
    </fill>
    <fill>
      <patternFill patternType="solid">
        <fgColor rgb="FF262626"/>
        <bgColor rgb="FF000000"/>
      </patternFill>
    </fill>
  </fills>
  <borders count="28">
    <border>
      <left/>
      <right/>
      <top/>
      <bottom/>
      <diagonal/>
    </border>
    <border>
      <left style="thin">
        <color theme="1" tint="0.24994659260841701"/>
      </left>
      <right style="thin">
        <color theme="1" tint="0.24994659260841701"/>
      </right>
      <top/>
      <bottom/>
      <diagonal/>
    </border>
    <border>
      <left style="thin">
        <color theme="1" tint="-0.249977111117893"/>
      </left>
      <right style="thin">
        <color theme="1" tint="-0.249977111117893"/>
      </right>
      <top style="thin">
        <color theme="1" tint="-0.249977111117893"/>
      </top>
      <bottom style="thin">
        <color theme="1" tint="-0.249977111117893"/>
      </bottom>
      <diagonal/>
    </border>
    <border>
      <left/>
      <right/>
      <top style="thin">
        <color theme="1" tint="-0.249977111117893"/>
      </top>
      <bottom/>
      <diagonal/>
    </border>
    <border>
      <left/>
      <right/>
      <top/>
      <bottom style="thin">
        <color theme="1" tint="-0.249977111117893"/>
      </bottom>
      <diagonal/>
    </border>
    <border>
      <left/>
      <right/>
      <top style="thin">
        <color theme="1" tint="-0.249977111117893"/>
      </top>
      <bottom style="thin">
        <color theme="1" tint="-0.249977111117893"/>
      </bottom>
      <diagonal/>
    </border>
    <border>
      <left/>
      <right style="thin">
        <color theme="1" tint="-0.249977111117893"/>
      </right>
      <top style="thin">
        <color theme="1" tint="-0.249977111117893"/>
      </top>
      <bottom style="thin">
        <color theme="1" tint="-0.249977111117893"/>
      </bottom>
      <diagonal/>
    </border>
    <border>
      <left/>
      <right style="thin">
        <color theme="1" tint="-0.249977111117893"/>
      </right>
      <top/>
      <bottom style="thin">
        <color theme="1" tint="-0.249977111117893"/>
      </bottom>
      <diagonal/>
    </border>
    <border>
      <left/>
      <right style="thin">
        <color theme="1" tint="-0.249977111117893"/>
      </right>
      <top style="thin">
        <color theme="1" tint="-0.249977111117893"/>
      </top>
      <bottom/>
      <diagonal/>
    </border>
    <border>
      <left/>
      <right style="thin">
        <color theme="1" tint="-0.249977111117893"/>
      </right>
      <top/>
      <bottom/>
      <diagonal/>
    </border>
    <border>
      <left style="thin">
        <color theme="1" tint="-0.249977111117893"/>
      </left>
      <right style="thin">
        <color theme="1" tint="-0.249977111117893"/>
      </right>
      <top/>
      <bottom/>
      <diagonal/>
    </border>
    <border>
      <left/>
      <right/>
      <top style="thin">
        <color theme="1" tint="-0.499984740745262"/>
      </top>
      <bottom style="thin">
        <color theme="1" tint="-0.499984740745262"/>
      </bottom>
      <diagonal/>
    </border>
    <border>
      <left/>
      <right/>
      <top style="thin">
        <color theme="1" tint="-0.499984740745262"/>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249977111117893"/>
      </left>
      <right/>
      <top style="thin">
        <color theme="1" tint="-0.249977111117893"/>
      </top>
      <bottom style="thin">
        <color theme="1" tint="-0.249977111117893"/>
      </bottom>
      <diagonal/>
    </border>
    <border>
      <left style="thin">
        <color theme="1" tint="-0.249977111117893"/>
      </left>
      <right style="thin">
        <color theme="1" tint="-0.249977111117893"/>
      </right>
      <top style="thin">
        <color theme="1" tint="-0.249977111117893"/>
      </top>
      <bottom/>
      <diagonal/>
    </border>
    <border>
      <left/>
      <right style="thin">
        <color rgb="FF262626"/>
      </right>
      <top/>
      <bottom/>
      <diagonal/>
    </border>
    <border>
      <left/>
      <right style="thin">
        <color theme="1" tint="-0.499984740745262"/>
      </right>
      <top/>
      <bottom style="thin">
        <color theme="1" tint="-0.499984740745262"/>
      </bottom>
      <diagonal/>
    </border>
    <border>
      <left style="thin">
        <color theme="1" tint="-0.499984740745262"/>
      </left>
      <right style="thin">
        <color theme="1" tint="-0.499984740745262"/>
      </right>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diagonal/>
    </border>
    <border>
      <left style="thin">
        <color theme="1" tint="-0.499984740745262"/>
      </left>
      <right style="thin">
        <color theme="1" tint="-0.499984740745262"/>
      </right>
      <top style="thin">
        <color theme="1" tint="-0.499984740745262"/>
      </top>
      <bottom/>
      <diagonal/>
    </border>
    <border>
      <left style="thin">
        <color theme="1" tint="-0.499984740745262"/>
      </left>
      <right/>
      <top style="thin">
        <color theme="1" tint="-0.499984740745262"/>
      </top>
      <bottom/>
      <diagonal/>
    </border>
    <border>
      <left style="thin">
        <color theme="1" tint="-0.249977111117893"/>
      </left>
      <right style="thin">
        <color theme="1" tint="-0.249977111117893"/>
      </right>
      <top/>
      <bottom style="thin">
        <color theme="1" tint="-0.249977111117893"/>
      </bottom>
      <diagonal/>
    </border>
    <border>
      <left style="thin">
        <color theme="1" tint="-0.499984740745262"/>
      </left>
      <right/>
      <top/>
      <bottom style="thin">
        <color theme="1" tint="-0.249977111117893"/>
      </bottom>
      <diagonal/>
    </border>
    <border>
      <left style="thin">
        <color theme="1" tint="-0.249977111117893"/>
      </left>
      <right/>
      <top/>
      <bottom style="thin">
        <color theme="1" tint="-0.249977111117893"/>
      </bottom>
      <diagonal/>
    </border>
  </borders>
  <cellStyleXfs count="9">
    <xf numFmtId="0" fontId="0" fillId="2" borderId="0"/>
    <xf numFmtId="0" fontId="1" fillId="0" borderId="0" applyNumberFormat="0" applyFill="0" applyBorder="0" applyAlignment="0" applyProtection="0"/>
    <xf numFmtId="0" fontId="1" fillId="0" borderId="0" applyNumberFormat="0" applyFill="0" applyBorder="0" applyAlignment="0" applyProtection="0"/>
    <xf numFmtId="0" fontId="2" fillId="2" borderId="0" applyProtection="0">
      <alignment horizontal="left" vertical="center"/>
    </xf>
    <xf numFmtId="0" fontId="2" fillId="2" borderId="11" applyProtection="0">
      <alignment horizontal="right" vertical="center"/>
    </xf>
    <xf numFmtId="0" fontId="3" fillId="2" borderId="1" applyProtection="0">
      <alignment horizontal="center" vertical="center"/>
    </xf>
    <xf numFmtId="0" fontId="13" fillId="2" borderId="13">
      <alignment horizontal="center" vertical="center"/>
    </xf>
    <xf numFmtId="0" fontId="4" fillId="2" borderId="0" applyProtection="0">
      <alignment horizontal="center" vertical="center" wrapText="1"/>
    </xf>
    <xf numFmtId="9" fontId="16" fillId="0" borderId="0" applyFont="0" applyFill="0" applyBorder="0" applyAlignment="0" applyProtection="0"/>
  </cellStyleXfs>
  <cellXfs count="146">
    <xf numFmtId="0" fontId="0" fillId="2" borderId="0" xfId="0"/>
    <xf numFmtId="0" fontId="0" fillId="2" borderId="0" xfId="0" applyAlignment="1">
      <alignment vertical="center" textRotation="180"/>
    </xf>
    <xf numFmtId="0" fontId="2" fillId="2" borderId="0" xfId="3">
      <alignment horizontal="left" vertical="center"/>
    </xf>
    <xf numFmtId="0" fontId="2" fillId="2" borderId="0" xfId="4" applyBorder="1">
      <alignment horizontal="right" vertical="center"/>
    </xf>
    <xf numFmtId="0" fontId="0" fillId="2" borderId="0" xfId="0" applyAlignment="1">
      <alignment horizontal="center" vertical="center"/>
    </xf>
    <xf numFmtId="0" fontId="0" fillId="2" borderId="0" xfId="0" applyAlignment="1">
      <alignment horizontal="right"/>
    </xf>
    <xf numFmtId="0" fontId="0" fillId="2" borderId="0" xfId="0" applyAlignment="1">
      <alignment textRotation="180"/>
    </xf>
    <xf numFmtId="0" fontId="8" fillId="2" borderId="0" xfId="0" applyFont="1"/>
    <xf numFmtId="0" fontId="5" fillId="2" borderId="0" xfId="0" applyFont="1" applyAlignment="1">
      <alignment horizontal="right" vertical="center" indent="7"/>
    </xf>
    <xf numFmtId="0" fontId="0" fillId="2" borderId="2" xfId="0" applyBorder="1" applyAlignment="1">
      <alignment horizontal="center" vertical="center"/>
    </xf>
    <xf numFmtId="164" fontId="0" fillId="2" borderId="2" xfId="0" applyNumberFormat="1" applyBorder="1" applyAlignment="1">
      <alignment horizontal="center" vertical="center"/>
    </xf>
    <xf numFmtId="3" fontId="0" fillId="2" borderId="2" xfId="0" applyNumberFormat="1" applyBorder="1" applyAlignment="1">
      <alignment horizontal="center" vertical="center"/>
    </xf>
    <xf numFmtId="4" fontId="0" fillId="2" borderId="2" xfId="0" applyNumberFormat="1" applyBorder="1" applyAlignment="1">
      <alignment horizontal="center" vertical="center"/>
    </xf>
    <xf numFmtId="0" fontId="0" fillId="4" borderId="0" xfId="0" applyFill="1"/>
    <xf numFmtId="0" fontId="9" fillId="4" borderId="0" xfId="0" applyFont="1" applyFill="1" applyAlignment="1">
      <alignment vertical="center"/>
    </xf>
    <xf numFmtId="0" fontId="2" fillId="2" borderId="3" xfId="4" applyBorder="1">
      <alignment horizontal="right" vertical="center"/>
    </xf>
    <xf numFmtId="0" fontId="2" fillId="2" borderId="4" xfId="4" applyBorder="1">
      <alignment horizontal="right" vertical="center"/>
    </xf>
    <xf numFmtId="0" fontId="2" fillId="2" borderId="5" xfId="4" applyBorder="1">
      <alignment horizontal="right" vertical="center"/>
    </xf>
    <xf numFmtId="0" fontId="2" fillId="2" borderId="6" xfId="4" applyBorder="1">
      <alignment horizontal="right" vertical="center"/>
    </xf>
    <xf numFmtId="0" fontId="2" fillId="2" borderId="7" xfId="4" applyBorder="1">
      <alignment horizontal="right" vertical="center"/>
    </xf>
    <xf numFmtId="0" fontId="2" fillId="2" borderId="8" xfId="4" applyBorder="1">
      <alignment horizontal="right" vertical="center"/>
    </xf>
    <xf numFmtId="0" fontId="2" fillId="2" borderId="9" xfId="4" applyBorder="1">
      <alignment horizontal="right" vertical="center"/>
    </xf>
    <xf numFmtId="0" fontId="6" fillId="2" borderId="0" xfId="0" applyFont="1" applyAlignment="1">
      <alignment vertical="center"/>
    </xf>
    <xf numFmtId="0" fontId="4" fillId="2" borderId="0" xfId="0" applyFont="1" applyAlignment="1">
      <alignment horizontal="center" vertical="center" wrapText="1"/>
    </xf>
    <xf numFmtId="3" fontId="8" fillId="2" borderId="5" xfId="0" applyNumberFormat="1" applyFont="1" applyBorder="1" applyAlignment="1">
      <alignment horizontal="center" vertical="center"/>
    </xf>
    <xf numFmtId="0" fontId="7" fillId="2" borderId="0" xfId="0" applyFont="1" applyAlignment="1">
      <alignment horizontal="right" vertical="top"/>
    </xf>
    <xf numFmtId="0" fontId="8" fillId="2" borderId="0" xfId="0" applyFont="1" applyAlignment="1">
      <alignment vertical="top"/>
    </xf>
    <xf numFmtId="0" fontId="11" fillId="7" borderId="0" xfId="0" applyFont="1" applyFill="1" applyAlignment="1">
      <alignment wrapText="1"/>
    </xf>
    <xf numFmtId="0" fontId="12" fillId="7" borderId="0" xfId="0" applyFont="1" applyFill="1" applyAlignment="1">
      <alignment vertical="center" wrapText="1"/>
    </xf>
    <xf numFmtId="0" fontId="13" fillId="2" borderId="13" xfId="6">
      <alignment horizontal="center" vertical="center"/>
    </xf>
    <xf numFmtId="0" fontId="0" fillId="7" borderId="15" xfId="0" applyFill="1" applyBorder="1" applyAlignment="1">
      <alignment horizontal="left" vertical="center" indent="1"/>
    </xf>
    <xf numFmtId="0" fontId="0" fillId="7" borderId="15" xfId="0" applyFill="1" applyBorder="1" applyAlignment="1">
      <alignment horizontal="center" vertical="center" wrapText="1"/>
    </xf>
    <xf numFmtId="164" fontId="5" fillId="3" borderId="5" xfId="0" applyNumberFormat="1" applyFont="1" applyFill="1" applyBorder="1" applyAlignment="1">
      <alignment horizontal="center" vertical="center" wrapText="1"/>
    </xf>
    <xf numFmtId="164" fontId="5" fillId="3" borderId="0" xfId="0" applyNumberFormat="1" applyFont="1" applyFill="1" applyAlignment="1">
      <alignment horizontal="center" vertical="center" wrapText="1"/>
    </xf>
    <xf numFmtId="0" fontId="15" fillId="2" borderId="0" xfId="0" applyFont="1" applyAlignment="1">
      <alignment horizontal="right" vertical="center"/>
    </xf>
    <xf numFmtId="3" fontId="0" fillId="2" borderId="4" xfId="0" applyNumberFormat="1" applyBorder="1" applyAlignment="1">
      <alignment horizontal="center" vertical="center"/>
    </xf>
    <xf numFmtId="0" fontId="3" fillId="2" borderId="0" xfId="5" applyBorder="1" applyAlignment="1">
      <alignment horizontal="center" vertical="center" wrapText="1"/>
    </xf>
    <xf numFmtId="0" fontId="3" fillId="2" borderId="10" xfId="5" applyBorder="1" applyAlignment="1">
      <alignment horizontal="center" vertical="center" wrapText="1"/>
    </xf>
    <xf numFmtId="0" fontId="10" fillId="2" borderId="9" xfId="5" applyFont="1" applyBorder="1" applyAlignment="1">
      <alignment horizontal="center" vertical="center" wrapText="1"/>
    </xf>
    <xf numFmtId="0" fontId="10" fillId="2" borderId="0" xfId="5" applyFont="1" applyBorder="1" applyAlignment="1">
      <alignment horizontal="center" vertical="center" wrapText="1"/>
    </xf>
    <xf numFmtId="0" fontId="10" fillId="2" borderId="10" xfId="5" applyFont="1" applyBorder="1" applyAlignment="1">
      <alignment horizontal="center" vertical="center" wrapText="1"/>
    </xf>
    <xf numFmtId="0" fontId="18" fillId="2" borderId="0" xfId="0" applyFont="1"/>
    <xf numFmtId="0" fontId="20" fillId="2" borderId="0" xfId="0" applyFont="1" applyAlignment="1">
      <alignment horizontal="left" vertical="center"/>
    </xf>
    <xf numFmtId="0" fontId="17" fillId="2" borderId="0" xfId="0" applyFont="1" applyAlignment="1">
      <alignment horizontal="left"/>
    </xf>
    <xf numFmtId="0" fontId="17" fillId="2" borderId="0" xfId="0" applyFont="1"/>
    <xf numFmtId="0" fontId="4" fillId="2" borderId="0" xfId="0" applyFont="1" applyAlignment="1">
      <alignment horizontal="left" vertical="center"/>
    </xf>
    <xf numFmtId="3" fontId="0" fillId="2" borderId="0" xfId="0" applyNumberFormat="1"/>
    <xf numFmtId="3" fontId="6" fillId="2" borderId="0" xfId="0" applyNumberFormat="1" applyFont="1" applyAlignment="1">
      <alignment vertical="center"/>
    </xf>
    <xf numFmtId="3" fontId="10" fillId="8" borderId="19" xfId="7" applyNumberFormat="1" applyFont="1" applyFill="1" applyBorder="1" applyAlignment="1">
      <alignment horizontal="left" vertical="center" wrapText="1" indent="1"/>
    </xf>
    <xf numFmtId="3" fontId="17" fillId="2" borderId="0" xfId="0" applyNumberFormat="1" applyFont="1" applyAlignment="1">
      <alignment horizontal="left"/>
    </xf>
    <xf numFmtId="3" fontId="17" fillId="2" borderId="0" xfId="0" applyNumberFormat="1" applyFont="1"/>
    <xf numFmtId="3" fontId="18" fillId="2" borderId="0" xfId="7" applyNumberFormat="1" applyFont="1" applyAlignment="1">
      <alignment horizontal="left" vertical="center" wrapText="1" indent="1"/>
    </xf>
    <xf numFmtId="3" fontId="19" fillId="5" borderId="17" xfId="7" applyNumberFormat="1" applyFont="1" applyFill="1" applyBorder="1" applyAlignment="1">
      <alignment horizontal="left" vertical="center" wrapText="1" indent="1"/>
    </xf>
    <xf numFmtId="3" fontId="19" fillId="5" borderId="18" xfId="7" applyNumberFormat="1" applyFont="1" applyFill="1" applyBorder="1">
      <alignment horizontal="center" vertical="center" wrapText="1"/>
    </xf>
    <xf numFmtId="3" fontId="19" fillId="5" borderId="20" xfId="7" applyNumberFormat="1" applyFont="1" applyFill="1" applyBorder="1">
      <alignment horizontal="center" vertical="center" wrapText="1"/>
    </xf>
    <xf numFmtId="3" fontId="18" fillId="2" borderId="19" xfId="7" applyNumberFormat="1" applyFont="1" applyBorder="1" applyAlignment="1">
      <alignment horizontal="left" vertical="center" wrapText="1" indent="1"/>
    </xf>
    <xf numFmtId="3" fontId="18" fillId="2" borderId="22" xfId="7" applyNumberFormat="1" applyFont="1" applyBorder="1" applyAlignment="1">
      <alignment horizontal="left" vertical="center" wrapText="1" indent="1"/>
    </xf>
    <xf numFmtId="3" fontId="10" fillId="8" borderId="17" xfId="7" applyNumberFormat="1" applyFont="1" applyFill="1" applyBorder="1" applyAlignment="1">
      <alignment horizontal="left" vertical="center" wrapText="1" indent="1"/>
    </xf>
    <xf numFmtId="3" fontId="18" fillId="8" borderId="22" xfId="7" applyNumberFormat="1" applyFont="1" applyFill="1" applyBorder="1" applyAlignment="1">
      <alignment horizontal="left" vertical="center" wrapText="1" indent="1"/>
    </xf>
    <xf numFmtId="3" fontId="18" fillId="8" borderId="24" xfId="7" applyNumberFormat="1" applyFont="1" applyFill="1" applyBorder="1" applyAlignment="1">
      <alignment horizontal="left" vertical="center" wrapText="1" indent="1"/>
    </xf>
    <xf numFmtId="3" fontId="10" fillId="8" borderId="22" xfId="7" applyNumberFormat="1" applyFont="1" applyFill="1" applyBorder="1" applyAlignment="1">
      <alignment horizontal="left" vertical="center" wrapText="1" indent="1"/>
    </xf>
    <xf numFmtId="164" fontId="18" fillId="2" borderId="21" xfId="8" applyNumberFormat="1" applyFont="1" applyFill="1" applyBorder="1" applyAlignment="1">
      <alignment horizontal="center" vertical="center"/>
    </xf>
    <xf numFmtId="164" fontId="18" fillId="2" borderId="24" xfId="8" applyNumberFormat="1" applyFont="1" applyFill="1" applyBorder="1" applyAlignment="1">
      <alignment horizontal="center" vertical="center"/>
    </xf>
    <xf numFmtId="165" fontId="18" fillId="2" borderId="13" xfId="0" applyNumberFormat="1" applyFont="1" applyBorder="1" applyAlignment="1">
      <alignment horizontal="center"/>
    </xf>
    <xf numFmtId="165" fontId="18" fillId="2" borderId="23" xfId="0" applyNumberFormat="1" applyFont="1" applyBorder="1" applyAlignment="1">
      <alignment horizontal="center"/>
    </xf>
    <xf numFmtId="3" fontId="6" fillId="2" borderId="0" xfId="0" applyNumberFormat="1" applyFont="1" applyAlignment="1">
      <alignment vertical="center" textRotation="180"/>
    </xf>
    <xf numFmtId="3" fontId="21" fillId="2" borderId="0" xfId="0" applyNumberFormat="1" applyFont="1"/>
    <xf numFmtId="3" fontId="22" fillId="5" borderId="17" xfId="7" applyNumberFormat="1" applyFont="1" applyFill="1" applyBorder="1" applyAlignment="1">
      <alignment horizontal="left" vertical="center" wrapText="1" indent="1"/>
    </xf>
    <xf numFmtId="0" fontId="26" fillId="2" borderId="0" xfId="0" applyFont="1" applyAlignment="1">
      <alignment horizontal="left" vertical="center"/>
    </xf>
    <xf numFmtId="3" fontId="10" fillId="8" borderId="20" xfId="7" applyNumberFormat="1" applyFont="1" applyFill="1" applyBorder="1" applyAlignment="1">
      <alignment horizontal="left" vertical="center" indent="1"/>
    </xf>
    <xf numFmtId="3" fontId="10" fillId="8" borderId="21" xfId="7" applyNumberFormat="1" applyFont="1" applyFill="1" applyBorder="1" applyAlignment="1">
      <alignment horizontal="left" vertical="center" indent="1"/>
    </xf>
    <xf numFmtId="3" fontId="14" fillId="2" borderId="0" xfId="0" applyNumberFormat="1" applyFont="1" applyAlignment="1">
      <alignment horizontal="left" indent="1"/>
    </xf>
    <xf numFmtId="14" fontId="14" fillId="2" borderId="0" xfId="0" applyNumberFormat="1" applyFont="1" applyAlignment="1">
      <alignment horizontal="left" indent="1"/>
    </xf>
    <xf numFmtId="0" fontId="0" fillId="7" borderId="0" xfId="0" applyFill="1"/>
    <xf numFmtId="0" fontId="4" fillId="7" borderId="0" xfId="0" applyFont="1" applyFill="1" applyAlignment="1">
      <alignment horizontal="center" vertical="center"/>
    </xf>
    <xf numFmtId="0" fontId="0" fillId="2" borderId="23" xfId="0" applyFill="1" applyBorder="1" applyAlignment="1">
      <alignment horizontal="left" indent="1"/>
    </xf>
    <xf numFmtId="0" fontId="0" fillId="2" borderId="23" xfId="0" applyFill="1" applyBorder="1" applyAlignment="1">
      <alignment horizontal="center" vertical="center" wrapText="1"/>
    </xf>
    <xf numFmtId="164" fontId="8" fillId="3" borderId="23" xfId="0" applyNumberFormat="1" applyFont="1" applyFill="1" applyBorder="1" applyAlignment="1">
      <alignment horizontal="center" vertical="top" wrapText="1"/>
    </xf>
    <xf numFmtId="3" fontId="0" fillId="2" borderId="23" xfId="0" applyNumberFormat="1" applyFill="1" applyBorder="1" applyAlignment="1">
      <alignment horizontal="center" vertical="center" wrapText="1"/>
    </xf>
    <xf numFmtId="164" fontId="0" fillId="2" borderId="23" xfId="0" applyNumberFormat="1" applyFill="1" applyBorder="1" applyAlignment="1">
      <alignment horizontal="center" vertical="center" wrapText="1"/>
    </xf>
    <xf numFmtId="4" fontId="0" fillId="2" borderId="23" xfId="0" applyNumberFormat="1" applyFill="1" applyBorder="1" applyAlignment="1">
      <alignment horizontal="center" vertical="center" wrapText="1"/>
    </xf>
    <xf numFmtId="9" fontId="0" fillId="7" borderId="15" xfId="0" applyNumberFormat="1" applyFill="1" applyBorder="1" applyAlignment="1">
      <alignment horizontal="center" vertical="center" wrapText="1"/>
    </xf>
    <xf numFmtId="0" fontId="4" fillId="6" borderId="0" xfId="7" applyFill="1" applyAlignment="1">
      <alignment horizontal="center" vertical="center" wrapText="1"/>
    </xf>
    <xf numFmtId="0" fontId="0" fillId="2" borderId="13" xfId="0" applyBorder="1" applyAlignment="1">
      <alignment horizontal="center"/>
    </xf>
    <xf numFmtId="0" fontId="28" fillId="7" borderId="0" xfId="7" applyFont="1" applyFill="1" applyAlignment="1">
      <alignment horizontal="center" vertical="center" wrapText="1"/>
    </xf>
    <xf numFmtId="0" fontId="29" fillId="7" borderId="14" xfId="0" applyFont="1" applyFill="1" applyBorder="1" applyAlignment="1">
      <alignment horizontal="center"/>
    </xf>
    <xf numFmtId="3" fontId="10" fillId="8" borderId="11" xfId="7" applyNumberFormat="1" applyFont="1" applyFill="1" applyBorder="1" applyAlignment="1">
      <alignment horizontal="left" vertical="center" wrapText="1" indent="1"/>
    </xf>
    <xf numFmtId="3" fontId="10" fillId="8" borderId="12" xfId="7" applyNumberFormat="1" applyFont="1" applyFill="1" applyBorder="1" applyAlignment="1">
      <alignment horizontal="left" vertical="center" wrapText="1" indent="1"/>
    </xf>
    <xf numFmtId="3" fontId="10" fillId="8" borderId="24" xfId="7" applyNumberFormat="1" applyFont="1" applyFill="1" applyBorder="1" applyAlignment="1">
      <alignment horizontal="left" vertical="center" indent="1"/>
    </xf>
    <xf numFmtId="3" fontId="18" fillId="2" borderId="22" xfId="7" applyNumberFormat="1" applyFont="1" applyFill="1" applyBorder="1" applyAlignment="1">
      <alignment horizontal="left" vertical="center" wrapText="1" indent="1"/>
    </xf>
    <xf numFmtId="0" fontId="30" fillId="2" borderId="0" xfId="0" applyFont="1"/>
    <xf numFmtId="0" fontId="0" fillId="2" borderId="0" xfId="0" applyAlignment="1"/>
    <xf numFmtId="4" fontId="0" fillId="2" borderId="13" xfId="0" applyNumberFormat="1" applyFill="1" applyBorder="1" applyAlignment="1">
      <alignment horizontal="left" vertical="center" wrapText="1"/>
    </xf>
    <xf numFmtId="0" fontId="0" fillId="7" borderId="25" xfId="0" applyFill="1" applyBorder="1" applyAlignment="1">
      <alignment horizontal="center" vertical="center"/>
    </xf>
    <xf numFmtId="0" fontId="0" fillId="7" borderId="15" xfId="0" applyFill="1" applyBorder="1" applyAlignment="1">
      <alignment horizontal="center" vertical="center"/>
    </xf>
    <xf numFmtId="164" fontId="5" fillId="3" borderId="0" xfId="0" applyNumberFormat="1" applyFont="1" applyFill="1" applyBorder="1" applyAlignment="1">
      <alignment horizontal="center" vertical="center" wrapText="1"/>
    </xf>
    <xf numFmtId="0" fontId="0" fillId="7" borderId="10" xfId="0" applyFill="1" applyBorder="1" applyAlignment="1">
      <alignment horizontal="left" vertical="center"/>
    </xf>
    <xf numFmtId="3" fontId="0" fillId="2" borderId="26" xfId="0" applyNumberFormat="1" applyBorder="1" applyAlignment="1">
      <alignment horizontal="center"/>
    </xf>
    <xf numFmtId="0" fontId="31" fillId="2" borderId="0" xfId="3" applyFont="1" applyBorder="1">
      <alignment horizontal="left" vertical="center"/>
    </xf>
    <xf numFmtId="0" fontId="0" fillId="7" borderId="10" xfId="0" applyFill="1" applyBorder="1" applyAlignment="1">
      <alignment vertical="center"/>
    </xf>
    <xf numFmtId="0" fontId="0" fillId="2" borderId="0" xfId="0" pivotButton="1"/>
    <xf numFmtId="0" fontId="0" fillId="2" borderId="0" xfId="0" applyAlignment="1">
      <alignment horizontal="center" vertical="center" wrapText="1"/>
    </xf>
    <xf numFmtId="164" fontId="8" fillId="3" borderId="0" xfId="0" applyNumberFormat="1" applyFont="1" applyFill="1" applyAlignment="1">
      <alignment horizontal="center" vertical="center" wrapText="1"/>
    </xf>
    <xf numFmtId="10" fontId="0" fillId="2" borderId="0" xfId="0" applyNumberFormat="1" applyAlignment="1">
      <alignment horizontal="center" vertical="center"/>
    </xf>
    <xf numFmtId="0" fontId="0" fillId="2" borderId="0" xfId="0" applyFill="1" applyAlignment="1">
      <alignment horizontal="center" vertical="center" wrapText="1"/>
    </xf>
    <xf numFmtId="164" fontId="0" fillId="2" borderId="0" xfId="0" applyNumberFormat="1" applyAlignment="1">
      <alignment horizontal="center" vertical="center"/>
    </xf>
    <xf numFmtId="0" fontId="0" fillId="2" borderId="0" xfId="0" applyAlignment="1">
      <alignment horizontal="left" vertical="center"/>
    </xf>
    <xf numFmtId="0" fontId="0" fillId="2" borderId="0" xfId="0" pivotButton="1" applyAlignment="1">
      <alignment horizontal="center" vertical="center" wrapText="1"/>
    </xf>
    <xf numFmtId="0" fontId="32" fillId="2" borderId="0" xfId="0" applyFont="1"/>
    <xf numFmtId="0" fontId="8" fillId="8" borderId="14" xfId="1" applyFont="1" applyFill="1" applyBorder="1"/>
    <xf numFmtId="0" fontId="15" fillId="2" borderId="0" xfId="0" applyFont="1" applyAlignment="1">
      <alignment horizontal="right" vertical="center" textRotation="180"/>
    </xf>
    <xf numFmtId="0" fontId="8" fillId="2" borderId="0" xfId="1" applyFont="1" applyFill="1"/>
    <xf numFmtId="0" fontId="0" fillId="2" borderId="0" xfId="0" pivotButton="1" applyAlignment="1">
      <alignment horizontal="left" vertical="center" wrapText="1"/>
    </xf>
    <xf numFmtId="4" fontId="33" fillId="9" borderId="27" xfId="1" applyNumberFormat="1" applyFont="1" applyFill="1" applyBorder="1" applyAlignment="1">
      <alignment horizontal="center" vertical="center"/>
    </xf>
    <xf numFmtId="0" fontId="34" fillId="7" borderId="10" xfId="0" applyFont="1" applyFill="1" applyBorder="1" applyAlignment="1">
      <alignment horizontal="center" vertical="center"/>
    </xf>
    <xf numFmtId="0" fontId="35" fillId="7" borderId="14" xfId="0" applyFont="1" applyFill="1" applyBorder="1" applyAlignment="1">
      <alignment horizontal="center"/>
    </xf>
    <xf numFmtId="0" fontId="25" fillId="2" borderId="0" xfId="1" applyFont="1" applyFill="1"/>
    <xf numFmtId="0" fontId="3" fillId="2" borderId="0" xfId="5" applyBorder="1" applyAlignment="1">
      <alignment horizontal="left" vertical="center" wrapText="1" indent="1"/>
    </xf>
    <xf numFmtId="0" fontId="3" fillId="2" borderId="16" xfId="5" applyBorder="1" applyAlignment="1">
      <alignment horizontal="left" vertical="center" wrapText="1" indent="1"/>
    </xf>
    <xf numFmtId="0" fontId="36" fillId="2" borderId="0" xfId="0" applyFont="1"/>
    <xf numFmtId="0" fontId="0" fillId="2" borderId="0" xfId="0" applyAlignment="1">
      <alignment vertical="center"/>
    </xf>
    <xf numFmtId="0" fontId="14" fillId="2" borderId="0" xfId="0" applyFont="1" applyAlignment="1">
      <alignment readingOrder="2"/>
    </xf>
    <xf numFmtId="0" fontId="24" fillId="2" borderId="0" xfId="0" applyFont="1" applyAlignment="1">
      <alignment readingOrder="2"/>
    </xf>
    <xf numFmtId="0" fontId="0" fillId="2" borderId="0" xfId="0" applyFill="1"/>
    <xf numFmtId="0" fontId="9" fillId="2" borderId="0" xfId="0" applyFont="1" applyFill="1" applyAlignment="1">
      <alignment vertical="center"/>
    </xf>
    <xf numFmtId="3" fontId="1" fillId="7" borderId="19" xfId="1" applyNumberFormat="1" applyFill="1" applyBorder="1" applyAlignment="1">
      <alignment horizontal="left"/>
    </xf>
    <xf numFmtId="0" fontId="25" fillId="2" borderId="0" xfId="1" applyFont="1" applyFill="1" applyAlignment="1">
      <alignment vertical="center" readingOrder="2"/>
    </xf>
    <xf numFmtId="0" fontId="37" fillId="2" borderId="0" xfId="0" applyFont="1" applyAlignment="1">
      <alignment horizontal="left" vertical="center" indent="1"/>
    </xf>
    <xf numFmtId="0" fontId="0" fillId="2" borderId="13" xfId="0" applyBorder="1" applyAlignment="1">
      <alignment horizontal="left"/>
    </xf>
    <xf numFmtId="0" fontId="25" fillId="2" borderId="0" xfId="0" applyFont="1" applyAlignment="1">
      <alignment horizontal="right" vertical="center" textRotation="180"/>
    </xf>
    <xf numFmtId="0" fontId="14" fillId="7" borderId="23" xfId="0" quotePrefix="1" applyNumberFormat="1" applyFont="1" applyFill="1" applyBorder="1" applyAlignment="1">
      <alignment horizontal="left" indent="1"/>
    </xf>
    <xf numFmtId="3" fontId="8" fillId="2" borderId="5" xfId="0" applyNumberFormat="1" applyFont="1" applyBorder="1" applyAlignment="1">
      <alignment horizontal="left" vertical="center"/>
    </xf>
    <xf numFmtId="0" fontId="38" fillId="2" borderId="0" xfId="3" applyFont="1">
      <alignment horizontal="left" vertical="center"/>
    </xf>
    <xf numFmtId="0" fontId="39" fillId="2" borderId="0" xfId="3" applyFont="1">
      <alignment horizontal="left" vertical="center"/>
    </xf>
    <xf numFmtId="3" fontId="23" fillId="2" borderId="0" xfId="7" applyNumberFormat="1" applyFont="1" applyAlignment="1">
      <alignment horizontal="left" vertical="center" wrapText="1"/>
    </xf>
    <xf numFmtId="3" fontId="10" fillId="8" borderId="0" xfId="7" applyNumberFormat="1" applyFont="1" applyFill="1" applyBorder="1" applyAlignment="1">
      <alignment horizontal="left" vertical="center" wrapText="1" indent="1"/>
    </xf>
    <xf numFmtId="3" fontId="10" fillId="8" borderId="0" xfId="7" applyNumberFormat="1" applyFont="1" applyFill="1" applyBorder="1" applyAlignment="1">
      <alignment horizontal="left" vertical="center" indent="1"/>
    </xf>
    <xf numFmtId="3" fontId="40" fillId="2" borderId="0" xfId="7" applyNumberFormat="1" applyFont="1" applyAlignment="1">
      <alignment horizontal="left" vertical="center" wrapText="1"/>
    </xf>
    <xf numFmtId="0" fontId="41" fillId="2" borderId="0" xfId="0" applyFont="1" applyAlignment="1">
      <alignment horizontal="right" vertical="center"/>
    </xf>
    <xf numFmtId="3" fontId="0" fillId="2" borderId="0" xfId="0" applyNumberFormat="1" applyAlignment="1">
      <alignment vertical="center"/>
    </xf>
    <xf numFmtId="0" fontId="42" fillId="2" borderId="0" xfId="1" applyFont="1" applyFill="1" applyAlignment="1">
      <alignment vertical="center" readingOrder="2"/>
    </xf>
    <xf numFmtId="0" fontId="43" fillId="2" borderId="0" xfId="3" applyFont="1" applyBorder="1">
      <alignment horizontal="left" vertical="center"/>
    </xf>
    <xf numFmtId="0" fontId="42" fillId="2" borderId="0" xfId="0" applyFont="1" applyAlignment="1">
      <alignment horizontal="right" vertical="center"/>
    </xf>
    <xf numFmtId="0" fontId="44" fillId="2" borderId="0" xfId="3" applyFont="1">
      <alignment horizontal="left" vertical="center"/>
    </xf>
    <xf numFmtId="3" fontId="40" fillId="2" borderId="0" xfId="7" applyNumberFormat="1" applyFont="1" applyAlignment="1">
      <alignment horizontal="left" vertical="center" wrapText="1"/>
    </xf>
    <xf numFmtId="3" fontId="0" fillId="2" borderId="0" xfId="0" applyNumberFormat="1" applyAlignment="1">
      <alignment vertical="center"/>
    </xf>
  </cellXfs>
  <cellStyles count="9">
    <cellStyle name="DarkHeader" xfId="7" xr:uid="{E2F6A325-2B6F-491C-8710-28B3E934C509}"/>
    <cellStyle name="FalseFlag" xfId="6" xr:uid="{BD988031-97DA-4A1A-AF98-493153F33599}"/>
    <cellStyle name="Followed Hyperlink" xfId="2" builtinId="9" customBuiltin="1"/>
    <cellStyle name="Hyperlink" xfId="1" builtinId="8" customBuiltin="1"/>
    <cellStyle name="Normal" xfId="0" builtinId="0" customBuiltin="1"/>
    <cellStyle name="NoteField" xfId="5" xr:uid="{77D69A19-857B-442A-9B0A-501771EE9A4D}"/>
    <cellStyle name="Percent" xfId="8" builtinId="5"/>
    <cellStyle name="SubItem" xfId="4" xr:uid="{D21B07FD-5F6D-4154-8AB7-63D035214F3C}"/>
    <cellStyle name="SubSectionTItle" xfId="3" xr:uid="{8B04109E-AD21-4C71-8EF5-077A68DD2476}"/>
  </cellStyles>
  <dxfs count="110">
    <dxf>
      <fill>
        <patternFill patternType="solid">
          <fgColor indexed="64"/>
          <bgColor rgb="FF000000"/>
        </patternFill>
      </fill>
      <alignment horizontal="center" textRotation="0" indent="0" justifyLastLine="0" shrinkToFit="0" readingOrder="0"/>
      <border diagonalUp="0" diagonalDown="0" outline="0">
        <left style="thin">
          <color theme="1" tint="-0.499984740745262"/>
        </left>
        <right style="thin">
          <color theme="1" tint="-0.499984740745262"/>
        </right>
        <top style="thin">
          <color theme="1" tint="-0.499984740745262"/>
        </top>
        <bottom style="thin">
          <color theme="1" tint="-0.499984740745262"/>
        </bottom>
      </border>
    </dxf>
    <dxf>
      <fill>
        <patternFill patternType="solid">
          <fgColor indexed="64"/>
          <bgColor rgb="FF000000"/>
        </patternFill>
      </fill>
      <alignment horizontal="left" vertical="bottom" textRotation="0" wrapText="0" indent="0" justifyLastLine="0" shrinkToFit="0" readingOrder="0"/>
      <border diagonalUp="0" diagonalDown="0" outline="0">
        <left style="thin">
          <color theme="1" tint="-0.499984740745262"/>
        </left>
        <right style="thin">
          <color theme="1" tint="-0.499984740745262"/>
        </right>
        <top style="thin">
          <color theme="1" tint="-0.499984740745262"/>
        </top>
        <bottom style="thin">
          <color theme="1" tint="-0.499984740745262"/>
        </bottom>
      </border>
    </dxf>
    <dxf>
      <fill>
        <patternFill patternType="solid">
          <fgColor indexed="64"/>
          <bgColor rgb="FF000000"/>
        </patternFill>
      </fill>
      <alignment horizontal="center" textRotation="0" indent="0" justifyLastLine="0" shrinkToFit="0" readingOrder="0"/>
      <border diagonalUp="0" diagonalDown="0" outline="0">
        <left/>
        <right style="thin">
          <color theme="1" tint="-0.499984740745262"/>
        </right>
        <top style="thin">
          <color theme="1" tint="-0.499984740745262"/>
        </top>
        <bottom style="thin">
          <color theme="1" tint="-0.499984740745262"/>
        </bottom>
      </border>
    </dxf>
    <dxf>
      <font>
        <i/>
        <strike val="0"/>
        <outline val="0"/>
        <shadow val="0"/>
        <u val="none"/>
        <vertAlign val="baseline"/>
        <sz val="11"/>
        <color rgb="FF898989"/>
        <name val="Calibri"/>
        <family val="2"/>
        <scheme val="minor"/>
      </font>
      <fill>
        <patternFill patternType="solid">
          <fgColor indexed="64"/>
          <bgColor rgb="FF262626"/>
        </patternFill>
      </fill>
      <alignment horizontal="center" textRotation="0" indent="0" justifyLastLine="0" shrinkToFit="0" readingOrder="0"/>
      <border diagonalUp="0" diagonalDown="0" outline="0">
        <left style="thin">
          <color theme="1" tint="-0.249977111117893"/>
        </left>
        <right style="thin">
          <color theme="1" tint="-0.249977111117893"/>
        </right>
        <top style="thin">
          <color theme="1" tint="-0.249977111117893"/>
        </top>
        <bottom style="thin">
          <color theme="1" tint="-0.249977111117893"/>
        </bottom>
      </border>
    </dxf>
    <dxf>
      <fill>
        <patternFill patternType="solid">
          <fgColor indexed="64"/>
          <bgColor rgb="FF000000"/>
        </patternFill>
      </fill>
      <alignment horizontal="center" textRotation="0" indent="0" justifyLastLine="0" shrinkToFit="0" readingOrder="0"/>
    </dxf>
    <dxf>
      <alignment horizontal="center" textRotation="0" indent="0" justifyLastLine="0" shrinkToFit="0" readingOrder="0"/>
    </dxf>
    <dxf>
      <font>
        <color theme="0"/>
      </font>
      <fill>
        <patternFill patternType="solid">
          <bgColor rgb="FF1EAC1D"/>
        </patternFill>
      </fill>
    </dxf>
    <dxf>
      <font>
        <color theme="0"/>
      </font>
      <fill>
        <patternFill>
          <bgColor rgb="FF000000"/>
        </patternFill>
      </fill>
    </dxf>
    <dxf>
      <font>
        <color theme="0"/>
      </font>
      <fill>
        <patternFill>
          <bgColor rgb="FF000000"/>
        </patternFill>
      </fill>
    </dxf>
    <dxf>
      <font>
        <color rgb="FF9C0006"/>
      </font>
      <numFmt numFmtId="166" formatCode="&quot;List names must be unique&quot;"/>
      <fill>
        <patternFill>
          <bgColor rgb="FFFFC7CE"/>
        </patternFill>
      </fill>
    </dxf>
    <dxf>
      <font>
        <color theme="0"/>
      </font>
      <fill>
        <patternFill>
          <bgColor rgb="FF000000"/>
        </patternFill>
      </fill>
    </dxf>
    <dxf>
      <font>
        <color theme="0"/>
      </font>
      <fill>
        <patternFill patternType="solid">
          <bgColor rgb="FF1EAC1D"/>
        </patternFill>
      </fill>
    </dxf>
    <dxf>
      <font>
        <color theme="1" tint="0.499984740745262"/>
      </font>
      <fill>
        <patternFill patternType="solid">
          <bgColor rgb="FF000000"/>
        </patternFill>
      </fill>
    </dxf>
    <dxf>
      <font>
        <b val="0"/>
        <i/>
        <strike val="0"/>
        <condense val="0"/>
        <extend val="0"/>
        <outline val="0"/>
        <shadow val="0"/>
        <u val="none"/>
        <vertAlign val="baseline"/>
        <sz val="10"/>
        <color theme="1" tint="0.79998168889431442"/>
        <name val="Calibri"/>
        <family val="2"/>
        <scheme val="minor"/>
      </font>
      <numFmt numFmtId="3" formatCode="#,##0"/>
      <fill>
        <patternFill patternType="solid">
          <fgColor rgb="FF000000"/>
          <bgColor rgb="FF000000"/>
        </patternFill>
      </fill>
      <alignment horizontal="left" vertical="center" textRotation="0" wrapText="1" indent="1" justifyLastLine="0" shrinkToFit="0" readingOrder="0"/>
      <border diagonalUp="0" diagonalDown="0">
        <left style="thin">
          <color theme="1" tint="-0.499984740745262"/>
        </left>
        <right/>
        <top style="thin">
          <color theme="1" tint="-0.499984740745262"/>
        </top>
        <bottom/>
        <vertical/>
        <horizontal/>
      </border>
    </dxf>
    <dxf>
      <font>
        <b val="0"/>
        <i/>
        <strike val="0"/>
        <condense val="0"/>
        <extend val="0"/>
        <outline val="0"/>
        <shadow val="0"/>
        <u val="none"/>
        <vertAlign val="baseline"/>
        <sz val="10"/>
        <color theme="1" tint="0.79998168889431442"/>
        <name val="Calibri"/>
        <family val="2"/>
        <scheme val="minor"/>
      </font>
      <numFmt numFmtId="3" formatCode="#,##0"/>
      <fill>
        <patternFill patternType="solid">
          <fgColor rgb="FF000000"/>
          <bgColor rgb="FF000000"/>
        </patternFill>
      </fill>
      <alignment horizontal="left" vertical="center" textRotation="0" wrapText="1" indent="1" justifyLastLine="0" shrinkToFit="0" readingOrder="0"/>
      <border diagonalUp="0" diagonalDown="0">
        <left/>
        <right style="thin">
          <color theme="1" tint="-0.499984740745262"/>
        </right>
        <top style="thin">
          <color theme="1" tint="-0.499984740745262"/>
        </top>
        <bottom/>
        <vertical/>
        <horizontal/>
      </border>
    </dxf>
    <dxf>
      <border outline="0">
        <top style="thin">
          <color theme="1" tint="-0.499984740745262"/>
        </top>
      </border>
    </dxf>
    <dxf>
      <border outline="0">
        <left style="thin">
          <color theme="1" tint="-0.499984740745262"/>
        </left>
        <right style="thin">
          <color theme="1" tint="-0.499984740745262"/>
        </right>
        <top style="thin">
          <color theme="1" tint="-0.499984740745262"/>
        </top>
        <bottom style="thin">
          <color theme="1" tint="-0.499984740745262"/>
        </bottom>
      </border>
    </dxf>
    <dxf>
      <border outline="0">
        <bottom style="thin">
          <color theme="1" tint="-0.499984740745262"/>
        </bottom>
      </border>
    </dxf>
    <dxf>
      <font>
        <b val="0"/>
        <i/>
        <strike val="0"/>
        <condense val="0"/>
        <extend val="0"/>
        <outline val="0"/>
        <shadow val="0"/>
        <u val="none"/>
        <vertAlign val="baseline"/>
        <sz val="10"/>
        <color theme="1" tint="0.39997558519241921"/>
        <name val="Calibri"/>
        <family val="2"/>
        <scheme val="minor"/>
      </font>
      <numFmt numFmtId="3" formatCode="#,##0"/>
      <fill>
        <patternFill patternType="solid">
          <fgColor rgb="FF000000"/>
          <bgColor rgb="FF000000"/>
        </patternFill>
      </fill>
      <alignment horizontal="left" vertical="center" textRotation="0" wrapText="0" relativeIndent="1" justifyLastLine="0" shrinkToFit="0" readingOrder="0"/>
      <border diagonalUp="0" diagonalDown="0" outline="0">
        <left style="thin">
          <color theme="1" tint="-0.499984740745262"/>
        </left>
        <right/>
        <top style="thin">
          <color theme="1" tint="-0.499984740745262"/>
        </top>
        <bottom style="thin">
          <color theme="1" tint="-0.499984740745262"/>
        </bottom>
      </border>
    </dxf>
    <dxf>
      <font>
        <b val="0"/>
        <i/>
        <strike val="0"/>
        <condense val="0"/>
        <extend val="0"/>
        <outline val="0"/>
        <shadow val="0"/>
        <u val="none"/>
        <vertAlign val="baseline"/>
        <sz val="10"/>
        <color theme="1" tint="0.39997558519241921"/>
        <name val="Calibri"/>
        <family val="2"/>
        <scheme val="minor"/>
      </font>
      <numFmt numFmtId="3" formatCode="#,##0"/>
      <fill>
        <patternFill patternType="solid">
          <fgColor rgb="FF000000"/>
          <bgColor rgb="FF000000"/>
        </patternFill>
      </fill>
      <alignment horizontal="left" vertical="center" textRotation="0" wrapText="1" indent="1" justifyLastLine="0" shrinkToFit="0" readingOrder="0"/>
      <border diagonalUp="0" diagonalDown="0" outline="0">
        <left/>
        <right/>
        <top style="thin">
          <color theme="1" tint="-0.499984740745262"/>
        </top>
        <bottom style="thin">
          <color theme="1" tint="-0.499984740745262"/>
        </bottom>
      </border>
    </dxf>
    <dxf>
      <border outline="0">
        <top style="thin">
          <color theme="1" tint="-0.499984740745262"/>
        </top>
      </border>
    </dxf>
    <dxf>
      <border outline="0">
        <bottom style="thin">
          <color theme="1" tint="-0.499984740745262"/>
        </bottom>
      </border>
    </dxf>
    <dxf>
      <border outline="0">
        <bottom style="thin">
          <color theme="1" tint="-0.499984740745262"/>
        </bottom>
      </border>
    </dxf>
    <dxf>
      <font>
        <strike val="0"/>
        <outline val="0"/>
        <shadow val="0"/>
        <u val="none"/>
        <vertAlign val="baseline"/>
        <color theme="1" tint="0.39997558519241921"/>
        <name val="Calibri"/>
        <family val="2"/>
        <scheme val="minor"/>
      </font>
      <numFmt numFmtId="3" formatCode="#,##0"/>
      <alignment horizontal="left" vertical="bottom" textRotation="0" wrapText="0" relativeIndent="1" justifyLastLine="0" shrinkToFit="0" readingOrder="0"/>
    </dxf>
    <dxf>
      <font>
        <b val="0"/>
        <i/>
        <strike val="0"/>
        <condense val="0"/>
        <extend val="0"/>
        <outline val="0"/>
        <shadow val="0"/>
        <u val="none"/>
        <vertAlign val="baseline"/>
        <sz val="10"/>
        <color theme="1" tint="0.39997558519241921"/>
        <name val="Calibri"/>
        <family val="2"/>
        <scheme val="minor"/>
      </font>
      <numFmt numFmtId="3" formatCode="#,##0"/>
      <fill>
        <patternFill patternType="solid">
          <fgColor rgb="FF000000"/>
          <bgColor rgb="FF000000"/>
        </patternFill>
      </fill>
      <alignment horizontal="left" vertical="center" textRotation="0" wrapText="1" indent="1" justifyLastLine="0" shrinkToFit="0" readingOrder="0"/>
      <border diagonalUp="0" diagonalDown="0" outline="0">
        <left/>
        <right/>
        <top style="thin">
          <color theme="1" tint="-0.499984740745262"/>
        </top>
        <bottom style="thin">
          <color theme="1" tint="-0.499984740745262"/>
        </bottom>
      </border>
    </dxf>
    <dxf>
      <border outline="0">
        <left style="thin">
          <color rgb="FF1D1D1D"/>
        </left>
        <top style="thin">
          <color rgb="FF1D1D1D"/>
        </top>
      </border>
    </dxf>
    <dxf>
      <font>
        <strike val="0"/>
        <outline val="0"/>
        <shadow val="0"/>
        <u val="none"/>
        <vertAlign val="baseline"/>
        <color theme="1" tint="0.39997558519241921"/>
        <name val="Calibri"/>
        <family val="2"/>
        <scheme val="minor"/>
      </font>
      <numFmt numFmtId="3" formatCode="#,##0"/>
    </dxf>
    <dxf>
      <border outline="0">
        <bottom style="thin">
          <color theme="1" tint="-0.499984740745262"/>
        </bottom>
      </border>
    </dxf>
    <dxf>
      <font>
        <b val="0"/>
        <i/>
        <strike val="0"/>
        <condense val="0"/>
        <extend val="0"/>
        <outline val="0"/>
        <shadow val="0"/>
        <u val="none"/>
        <vertAlign val="baseline"/>
        <sz val="10"/>
        <color theme="1" tint="0.79998168889431442"/>
        <name val="Calibri"/>
        <family val="2"/>
        <scheme val="minor"/>
      </font>
      <numFmt numFmtId="164" formatCode="0.0%"/>
      <fill>
        <patternFill patternType="solid">
          <fgColor indexed="64"/>
          <bgColor rgb="FF000000"/>
        </patternFill>
      </fill>
      <alignment horizontal="center" vertical="center" textRotation="0" wrapText="0" indent="0" justifyLastLine="0" shrinkToFit="0" readingOrder="0"/>
      <border diagonalUp="0" diagonalDown="0">
        <left style="thin">
          <color theme="1" tint="-0.499984740745262"/>
        </left>
        <right/>
        <top style="thin">
          <color theme="1" tint="-0.499984740745262"/>
        </top>
        <bottom style="thin">
          <color theme="1" tint="-0.499984740745262"/>
        </bottom>
      </border>
    </dxf>
    <dxf>
      <font>
        <i/>
        <strike val="0"/>
        <outline val="0"/>
        <shadow val="0"/>
        <u val="none"/>
        <vertAlign val="baseline"/>
        <sz val="10"/>
        <color theme="1" tint="0.79998168889431442"/>
        <name val="Calibri"/>
        <family val="2"/>
        <scheme val="minor"/>
      </font>
      <numFmt numFmtId="165" formatCode="#,##0.0"/>
      <alignment horizontal="center" vertical="bottom" textRotation="0" wrapText="0"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border>
    </dxf>
    <dxf>
      <font>
        <b val="0"/>
        <i/>
        <strike val="0"/>
        <condense val="0"/>
        <extend val="0"/>
        <outline val="0"/>
        <shadow val="0"/>
        <u val="none"/>
        <vertAlign val="baseline"/>
        <sz val="10"/>
        <color theme="1" tint="0.79998168889431442"/>
        <name val="Calibri"/>
        <family val="2"/>
        <scheme val="minor"/>
      </font>
      <numFmt numFmtId="3" formatCode="#,##0"/>
      <fill>
        <patternFill patternType="solid">
          <fgColor indexed="64"/>
          <bgColor rgb="FF000000"/>
        </patternFill>
      </fill>
      <alignment horizontal="left" vertical="center" textRotation="0" wrapText="1" indent="1" justifyLastLine="0" shrinkToFit="0" readingOrder="0"/>
      <border diagonalUp="0" diagonalDown="0" outline="0">
        <left/>
        <right style="thin">
          <color theme="1" tint="-0.499984740745262"/>
        </right>
        <top style="thin">
          <color theme="1" tint="-0.499984740745262"/>
        </top>
        <bottom style="thin">
          <color theme="1" tint="-0.499984740745262"/>
        </bottom>
      </border>
    </dxf>
    <dxf>
      <border outline="0">
        <top style="thin">
          <color rgb="FF1D1D1D"/>
        </top>
      </border>
    </dxf>
    <dxf>
      <border outline="0">
        <left style="thin">
          <color rgb="FF1D1D1D"/>
        </left>
        <right style="thin">
          <color rgb="FF1D1D1D"/>
        </right>
        <top style="thin">
          <color rgb="FF1D1D1D"/>
        </top>
        <bottom style="thin">
          <color rgb="FF1D1D1D"/>
        </bottom>
      </border>
    </dxf>
    <dxf>
      <font>
        <i/>
        <strike val="0"/>
        <outline val="0"/>
        <shadow val="0"/>
        <u val="none"/>
        <vertAlign val="baseline"/>
        <sz val="10"/>
        <color rgb="FFD8D8D8"/>
        <name val="Calibri"/>
        <family val="2"/>
        <scheme val="none"/>
      </font>
      <numFmt numFmtId="3" formatCode="#,##0"/>
    </dxf>
    <dxf>
      <border outline="0">
        <bottom style="thin">
          <color rgb="FF1D1D1D"/>
        </bottom>
      </border>
    </dxf>
    <dxf>
      <font>
        <strike val="0"/>
        <outline val="0"/>
        <shadow val="0"/>
        <u val="none"/>
        <vertAlign val="baseline"/>
        <sz val="11"/>
        <color theme="1" tint="0.79998168889431442"/>
        <name val="Calibri"/>
        <family val="2"/>
        <scheme val="minor"/>
      </font>
      <numFmt numFmtId="3" formatCode="#,##0"/>
      <fill>
        <patternFill patternType="solid">
          <fgColor indexed="64"/>
          <bgColor theme="1" tint="-0.499984740745262"/>
        </patternFill>
      </fill>
    </dxf>
    <dxf>
      <font>
        <b val="0"/>
        <i val="0"/>
        <strike val="0"/>
        <condense val="0"/>
        <extend val="0"/>
        <outline val="0"/>
        <shadow val="0"/>
        <u val="none"/>
        <vertAlign val="baseline"/>
        <sz val="10"/>
        <color theme="0"/>
        <name val="Calibri"/>
        <family val="2"/>
        <scheme val="none"/>
      </font>
      <numFmt numFmtId="164" formatCode="0.0%"/>
      <fill>
        <patternFill patternType="solid">
          <fgColor theme="1" tint="0.249977111117893"/>
          <bgColor rgb="FF000000"/>
        </patternFill>
      </fill>
      <alignment horizontal="center" vertical="center" textRotation="0" wrapText="1" indent="0" justifyLastLine="0" shrinkToFit="0" readingOrder="0"/>
    </dxf>
    <dxf>
      <font>
        <b val="0"/>
        <i val="0"/>
        <strike val="0"/>
        <condense val="0"/>
        <extend val="0"/>
        <outline val="0"/>
        <shadow val="0"/>
        <u val="none"/>
        <vertAlign val="baseline"/>
        <sz val="10"/>
        <color theme="0"/>
        <name val="Calibri"/>
        <family val="2"/>
        <scheme val="none"/>
      </font>
      <numFmt numFmtId="164" formatCode="0.0%"/>
      <fill>
        <patternFill patternType="solid">
          <fgColor theme="1" tint="0.249977111117893"/>
          <bgColor rgb="FF000000"/>
        </patternFill>
      </fill>
      <alignment horizontal="center" vertical="center" textRotation="0" wrapText="1" indent="0" justifyLastLine="0" shrinkToFit="0" readingOrder="0"/>
      <border diagonalUp="0" diagonalDown="0" outline="0">
        <left/>
        <right/>
        <top style="thin">
          <color theme="1" tint="-0.249977111117893"/>
        </top>
        <bottom style="thin">
          <color theme="1" tint="-0.249977111117893"/>
        </bottom>
      </border>
    </dxf>
    <dxf>
      <font>
        <b val="0"/>
        <i val="0"/>
        <strike val="0"/>
        <condense val="0"/>
        <extend val="0"/>
        <outline val="0"/>
        <shadow val="0"/>
        <u val="none"/>
        <vertAlign val="baseline"/>
        <sz val="10"/>
        <color theme="0"/>
        <name val="Calibri"/>
        <family val="2"/>
        <scheme val="minor"/>
      </font>
      <numFmt numFmtId="3" formatCode="#,##0"/>
      <alignment horizontal="center" vertical="center" textRotation="0" wrapText="0" indent="0" justifyLastLine="0" shrinkToFit="0" readingOrder="0"/>
      <border diagonalUp="0" diagonalDown="0">
        <left/>
        <right/>
        <top style="thin">
          <color theme="1" tint="-0.249977111117893"/>
        </top>
        <bottom style="thin">
          <color theme="1" tint="-0.249977111117893"/>
        </bottom>
        <vertical/>
        <horizontal/>
      </border>
    </dxf>
    <dxf>
      <numFmt numFmtId="3" formatCode="#,##0"/>
      <alignment horizontal="center" vertical="bottom" textRotation="0" wrapText="0" indent="0" justifyLastLine="0" shrinkToFit="0" readingOrder="0"/>
      <border diagonalUp="0" diagonalDown="0">
        <left style="thin">
          <color theme="1" tint="-0.499984740745262"/>
        </left>
        <right/>
        <top/>
        <bottom style="thin">
          <color theme="1" tint="-0.249977111117893"/>
        </bottom>
        <vertical/>
        <horizontal/>
      </border>
    </dxf>
    <dxf>
      <font>
        <b val="0"/>
        <i val="0"/>
        <strike val="0"/>
        <condense val="0"/>
        <extend val="0"/>
        <outline val="0"/>
        <shadow val="0"/>
        <u val="none"/>
        <vertAlign val="baseline"/>
        <sz val="10"/>
        <color theme="1" tint="0.39997558519241921"/>
        <name val="Calibri"/>
        <family val="2"/>
        <scheme val="minor"/>
      </font>
      <numFmt numFmtId="3" formatCode="#,##0"/>
      <fill>
        <patternFill patternType="solid">
          <fgColor indexed="64"/>
          <bgColor rgb="FF262626"/>
        </patternFill>
      </fill>
      <alignment horizontal="left" vertical="center" textRotation="0" wrapText="0" indent="0" justifyLastLine="0" shrinkToFit="0" readingOrder="0"/>
      <border diagonalUp="0" diagonalDown="0">
        <left/>
        <right/>
        <top style="thin">
          <color theme="1" tint="-0.249977111117893"/>
        </top>
        <bottom style="thin">
          <color theme="1" tint="-0.249977111117893"/>
        </bottom>
        <vertical/>
        <horizontal/>
      </border>
    </dxf>
    <dxf>
      <font>
        <color theme="1" tint="0.39997558519241921"/>
      </font>
      <numFmt numFmtId="3" formatCode="#,##0"/>
      <fill>
        <patternFill patternType="solid">
          <fgColor indexed="64"/>
          <bgColor rgb="FF262626"/>
        </patternFill>
      </fill>
      <alignment horizontal="left" vertical="bottom" textRotation="0" wrapText="0" indent="0" justifyLastLine="0" shrinkToFit="0" readingOrder="0"/>
      <border diagonalUp="0" diagonalDown="0">
        <left/>
        <right style="thin">
          <color theme="1" tint="-0.499984740745262"/>
        </right>
        <top style="thin">
          <color theme="1" tint="-0.499984740745262"/>
        </top>
        <bottom style="thin">
          <color theme="1" tint="-0.499984740745262"/>
        </bottom>
        <vertical/>
        <horizontal/>
      </border>
    </dxf>
    <dxf>
      <font>
        <strike val="0"/>
        <outline val="0"/>
        <shadow val="0"/>
        <u val="none"/>
        <vertAlign val="baseline"/>
        <sz val="10"/>
        <color theme="0"/>
        <name val="Calibri"/>
        <family val="2"/>
        <scheme val="minor"/>
      </font>
      <numFmt numFmtId="4" formatCode="#,##0.00"/>
      <fill>
        <patternFill patternType="solid">
          <fgColor rgb="FF000000"/>
          <bgColor rgb="FF000000"/>
        </patternFill>
      </fill>
      <alignment horizontal="left" vertical="center" textRotation="0" wrapText="0" indent="0" justifyLastLine="0" shrinkToFit="0" readingOrder="0"/>
      <border diagonalUp="0" diagonalDown="0">
        <left style="thin">
          <color theme="1" tint="-0.249977111117893"/>
        </left>
        <right/>
        <top style="thin">
          <color theme="1" tint="-0.249977111117893"/>
        </top>
        <bottom style="thin">
          <color theme="1" tint="-0.249977111117893"/>
        </bottom>
        <vertical/>
        <horizontal/>
      </border>
    </dxf>
    <dxf>
      <font>
        <strike val="0"/>
        <outline val="0"/>
        <shadow val="0"/>
        <u/>
        <vertAlign val="baseline"/>
        <sz val="10"/>
        <color theme="1" tint="0.39997558519241921"/>
        <name val="Calibri"/>
        <family val="2"/>
        <scheme val="minor"/>
      </font>
      <numFmt numFmtId="4" formatCode="#,##0.00"/>
      <fill>
        <patternFill patternType="solid">
          <fgColor rgb="FF000000"/>
          <bgColor rgb="FF262626"/>
        </patternFill>
      </fill>
      <alignment horizontal="center" vertical="center" textRotation="0" wrapText="0" indent="0" justifyLastLine="0" shrinkToFit="0" readingOrder="0"/>
      <border diagonalUp="0" diagonalDown="0">
        <left style="thin">
          <color theme="1" tint="-0.249977111117893"/>
        </left>
        <right/>
        <top/>
        <bottom style="thin">
          <color theme="1" tint="-0.249977111117893"/>
        </bottom>
        <vertical/>
        <horizontal/>
      </border>
    </dxf>
    <dxf>
      <fill>
        <patternFill patternType="solid">
          <fgColor indexed="64"/>
          <bgColor rgb="FF262626"/>
        </patternFill>
      </fill>
      <alignment horizontal="left" vertical="center" textRotation="0" wrapText="0" indent="1" justifyLastLine="0" shrinkToFit="0" readingOrder="0"/>
      <border diagonalUp="0" diagonalDown="0" outline="0">
        <left style="thin">
          <color theme="1" tint="-0.249977111117893"/>
        </left>
        <right style="thin">
          <color theme="1" tint="-0.249977111117893"/>
        </right>
        <top/>
        <bottom/>
      </border>
    </dxf>
    <dxf>
      <numFmt numFmtId="4" formatCode="#,##0.00"/>
      <fill>
        <patternFill patternType="solid">
          <fgColor indexed="64"/>
          <bgColor rgb="FF000000"/>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vertical/>
        <horizontal/>
      </border>
    </dxf>
    <dxf>
      <numFmt numFmtId="4" formatCode="#,##0.00"/>
      <fill>
        <patternFill patternType="solid">
          <fgColor indexed="64"/>
          <bgColor rgb="FF000000"/>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vertical/>
        <horizontal/>
      </border>
    </dxf>
    <dxf>
      <numFmt numFmtId="4" formatCode="#,##0.00"/>
      <fill>
        <patternFill patternType="solid">
          <fgColor indexed="64"/>
          <bgColor rgb="FF000000"/>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vertical/>
        <horizontal/>
      </border>
    </dxf>
    <dxf>
      <numFmt numFmtId="4" formatCode="#,##0.00"/>
      <fill>
        <patternFill patternType="solid">
          <fgColor indexed="64"/>
          <bgColor rgb="FF000000"/>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vertical/>
        <horizontal/>
      </border>
    </dxf>
    <dxf>
      <numFmt numFmtId="4" formatCode="#,##0.00"/>
      <fill>
        <patternFill patternType="solid">
          <fgColor indexed="64"/>
          <bgColor rgb="FF000000"/>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vertical/>
        <horizontal/>
      </border>
    </dxf>
    <dxf>
      <numFmt numFmtId="4" formatCode="#,##0.00"/>
      <fill>
        <patternFill patternType="solid">
          <fgColor indexed="64"/>
          <bgColor rgb="FF000000"/>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vertical/>
        <horizontal/>
      </border>
    </dxf>
    <dxf>
      <numFmt numFmtId="4" formatCode="#,##0.00"/>
      <fill>
        <patternFill patternType="solid">
          <fgColor indexed="64"/>
          <bgColor rgb="FF000000"/>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vertical/>
        <horizontal/>
      </border>
    </dxf>
    <dxf>
      <numFmt numFmtId="4" formatCode="#,##0.00"/>
      <fill>
        <patternFill patternType="solid">
          <fgColor indexed="64"/>
          <bgColor rgb="FF000000"/>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vertical/>
        <horizontal/>
      </border>
    </dxf>
    <dxf>
      <numFmt numFmtId="4" formatCode="#,##0.00"/>
      <fill>
        <patternFill patternType="solid">
          <fgColor indexed="64"/>
          <bgColor rgb="FF000000"/>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vertical/>
        <horizontal/>
      </border>
    </dxf>
    <dxf>
      <numFmt numFmtId="4" formatCode="#,##0.00"/>
      <fill>
        <patternFill patternType="solid">
          <fgColor indexed="64"/>
          <bgColor rgb="FF000000"/>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vertical/>
        <horizontal/>
      </border>
    </dxf>
    <dxf>
      <numFmt numFmtId="4" formatCode="#,##0.00"/>
      <fill>
        <patternFill patternType="solid">
          <fgColor indexed="64"/>
          <bgColor rgb="FF000000"/>
        </patternFill>
      </fill>
      <alignment horizontal="center" vertical="center" textRotation="0" wrapText="1" indent="0" justifyLastLine="0" shrinkToFit="0" readingOrder="0"/>
      <border diagonalUp="0" diagonalDown="0" outline="0">
        <left style="thin">
          <color theme="1" tint="-0.499984740745262"/>
        </left>
        <right style="thin">
          <color theme="1" tint="-0.499984740745262"/>
        </right>
        <top style="thin">
          <color theme="1" tint="-0.499984740745262"/>
        </top>
        <bottom/>
      </border>
    </dxf>
    <dxf>
      <numFmt numFmtId="4" formatCode="#,##0.00"/>
      <fill>
        <patternFill patternType="solid">
          <fgColor indexed="64"/>
          <bgColor rgb="FF000000"/>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vertical/>
        <horizontal/>
      </border>
    </dxf>
    <dxf>
      <numFmt numFmtId="4" formatCode="#,##0.00"/>
      <fill>
        <patternFill patternType="solid">
          <fgColor indexed="64"/>
          <bgColor rgb="FF000000"/>
        </patternFill>
      </fill>
      <alignment horizontal="center" vertical="center" textRotation="0" wrapText="1" indent="0" justifyLastLine="0" shrinkToFit="0" readingOrder="0"/>
      <border diagonalUp="0" diagonalDown="0" outline="0">
        <left style="thin">
          <color theme="1" tint="-0.499984740745262"/>
        </left>
        <right style="thin">
          <color theme="1" tint="-0.499984740745262"/>
        </right>
        <top style="thin">
          <color theme="1" tint="-0.499984740745262"/>
        </top>
        <bottom/>
      </border>
    </dxf>
    <dxf>
      <numFmt numFmtId="4" formatCode="#,##0.00"/>
      <fill>
        <patternFill patternType="solid">
          <fgColor indexed="64"/>
          <bgColor rgb="FF000000"/>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vertical/>
        <horizontal/>
      </border>
    </dxf>
    <dxf>
      <numFmt numFmtId="3" formatCode="#,##0"/>
      <fill>
        <patternFill patternType="solid">
          <fgColor indexed="64"/>
          <bgColor rgb="FF000000"/>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vertical/>
        <horizontal/>
      </border>
    </dxf>
    <dxf>
      <numFmt numFmtId="164" formatCode="0.0%"/>
      <fill>
        <patternFill patternType="solid">
          <fgColor indexed="64"/>
          <bgColor rgb="FF000000"/>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vertical/>
        <horizontal/>
      </border>
    </dxf>
    <dxf>
      <numFmt numFmtId="3" formatCode="#,##0"/>
      <fill>
        <patternFill patternType="solid">
          <fgColor indexed="64"/>
          <bgColor rgb="FF000000"/>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vertical/>
        <horizontal/>
      </border>
    </dxf>
    <dxf>
      <numFmt numFmtId="3" formatCode="#,##0"/>
      <fill>
        <patternFill patternType="solid">
          <fgColor indexed="64"/>
          <bgColor rgb="FF000000"/>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vertical/>
        <horizontal/>
      </border>
    </dxf>
    <dxf>
      <numFmt numFmtId="3" formatCode="#,##0"/>
      <fill>
        <patternFill patternType="solid">
          <fgColor indexed="64"/>
          <bgColor rgb="FF000000"/>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vertical/>
        <horizontal/>
      </border>
    </dxf>
    <dxf>
      <font>
        <sz val="10"/>
        <color theme="0"/>
      </font>
      <numFmt numFmtId="164" formatCode="0.0%"/>
      <fill>
        <patternFill patternType="solid">
          <fgColor theme="1" tint="0.249977111117893"/>
          <bgColor rgb="FF000000"/>
        </patternFill>
      </fill>
      <alignment horizontal="center" vertical="top" textRotation="0" wrapText="1" indent="0" justifyLastLine="0" shrinkToFit="0" readingOrder="0"/>
      <border diagonalUp="0" diagonalDown="0">
        <left style="thin">
          <color theme="1" tint="-0.499984740745262"/>
        </left>
        <right style="thin">
          <color theme="1" tint="-0.499984740745262"/>
        </right>
        <top style="thin">
          <color theme="1" tint="-0.499984740745262"/>
        </top>
        <bottom/>
        <vertical/>
        <horizontal/>
      </border>
    </dxf>
    <dxf>
      <font>
        <sz val="10"/>
        <color theme="0"/>
      </font>
      <numFmt numFmtId="164" formatCode="0.0%"/>
      <fill>
        <patternFill patternType="solid">
          <fgColor theme="1" tint="0.249977111117893"/>
          <bgColor rgb="FF000000"/>
        </patternFill>
      </fill>
      <alignment horizontal="center" vertical="top" textRotation="0" wrapText="1" indent="0" justifyLastLine="0" shrinkToFit="0" readingOrder="0"/>
      <border diagonalUp="0" diagonalDown="0">
        <left style="thin">
          <color theme="1" tint="-0.499984740745262"/>
        </left>
        <right style="thin">
          <color theme="1" tint="-0.499984740745262"/>
        </right>
        <top style="thin">
          <color theme="1" tint="-0.499984740745262"/>
        </top>
        <bottom/>
        <vertical/>
        <horizontal/>
      </border>
    </dxf>
    <dxf>
      <font>
        <sz val="10"/>
        <color theme="0"/>
      </font>
      <numFmt numFmtId="164" formatCode="0.0%"/>
      <fill>
        <patternFill patternType="solid">
          <fgColor theme="1" tint="0.249977111117893"/>
          <bgColor rgb="FF000000"/>
        </patternFill>
      </fill>
      <alignment horizontal="center" vertical="top" textRotation="0" wrapText="1" indent="0" justifyLastLine="0" shrinkToFit="0" readingOrder="0"/>
      <border diagonalUp="0" diagonalDown="0">
        <left style="thin">
          <color theme="1" tint="-0.499984740745262"/>
        </left>
        <right style="thin">
          <color theme="1" tint="-0.499984740745262"/>
        </right>
        <top style="thin">
          <color theme="1" tint="-0.499984740745262"/>
        </top>
        <bottom/>
        <vertical/>
        <horizontal/>
      </border>
    </dxf>
    <dxf>
      <fill>
        <patternFill patternType="solid">
          <fgColor indexed="64"/>
          <bgColor rgb="FF000000"/>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vertical/>
        <horizontal/>
      </border>
    </dxf>
    <dxf>
      <font>
        <strike val="0"/>
        <outline val="0"/>
        <shadow val="0"/>
        <u val="none"/>
        <vertAlign val="baseline"/>
        <sz val="11"/>
        <color theme="1" tint="0.39997558519241921"/>
        <name val="Calibri"/>
        <family val="2"/>
        <scheme val="minor"/>
      </font>
      <numFmt numFmtId="0" formatCode="General"/>
      <fill>
        <patternFill patternType="solid">
          <fgColor indexed="64"/>
          <bgColor rgb="FF262626"/>
        </patternFill>
      </fill>
      <alignment horizontal="left" vertical="bottom" textRotation="0" wrapText="0" indent="1" justifyLastLine="0" shrinkToFit="0" readingOrder="0"/>
      <border diagonalUp="0" diagonalDown="0">
        <left style="thin">
          <color theme="1" tint="-0.499984740745262"/>
        </left>
        <right style="thin">
          <color theme="1" tint="-0.499984740745262"/>
        </right>
        <top style="thin">
          <color theme="1" tint="-0.499984740745262"/>
        </top>
        <bottom/>
        <vertical/>
        <horizontal/>
      </border>
    </dxf>
    <dxf>
      <font>
        <strike val="0"/>
        <outline val="0"/>
        <shadow val="0"/>
        <u val="none"/>
        <vertAlign val="baseline"/>
        <sz val="11"/>
        <color theme="1" tint="0.39997558519241921"/>
        <name val="Calibri"/>
        <family val="2"/>
        <scheme val="minor"/>
      </font>
      <numFmt numFmtId="0" formatCode="General"/>
      <fill>
        <patternFill patternType="solid">
          <fgColor indexed="64"/>
          <bgColor rgb="FF262626"/>
        </patternFill>
      </fill>
      <alignment horizontal="left" vertical="bottom" textRotation="0" wrapText="0" indent="1" justifyLastLine="0" shrinkToFit="0" readingOrder="0"/>
      <border diagonalUp="0" diagonalDown="0">
        <left style="thin">
          <color theme="1" tint="-0.499984740745262"/>
        </left>
        <right style="thin">
          <color theme="1" tint="-0.499984740745262"/>
        </right>
        <top style="thin">
          <color theme="1" tint="-0.499984740745262"/>
        </top>
        <bottom/>
        <vertical/>
        <horizontal/>
      </border>
    </dxf>
    <dxf>
      <fill>
        <patternFill patternType="solid">
          <fgColor indexed="64"/>
          <bgColor rgb="FF000000"/>
        </patternFill>
      </fill>
      <alignment horizontal="left" vertical="bottom" textRotation="0" wrapText="0" indent="1" justifyLastLine="0" shrinkToFit="0" readingOrder="0"/>
      <border diagonalUp="0" diagonalDown="0">
        <left style="thin">
          <color theme="1" tint="-0.499984740745262"/>
        </left>
        <right style="thin">
          <color theme="1" tint="-0.499984740745262"/>
        </right>
        <top style="thin">
          <color theme="1" tint="-0.499984740745262"/>
        </top>
        <bottom/>
        <vertical/>
        <horizontal/>
      </border>
    </dxf>
    <dxf>
      <font>
        <color theme="1" tint="0.39997558519241921"/>
      </font>
      <numFmt numFmtId="4" formatCode="#,##0.00"/>
      <fill>
        <patternFill patternType="solid">
          <fgColor indexed="64"/>
          <bgColor rgb="FF000000"/>
        </patternFill>
      </fill>
      <alignment horizontal="left" vertical="center" textRotation="0" wrapText="1" indent="0" justifyLastLine="0" shrinkToFit="0" readingOrder="0"/>
      <border diagonalUp="0" diagonalDown="0" outline="0">
        <left/>
        <right style="thin">
          <color theme="1" tint="-0.499984740745262"/>
        </right>
        <top style="thin">
          <color theme="1" tint="-0.499984740745262"/>
        </top>
        <bottom style="thin">
          <color theme="1" tint="-0.499984740745262"/>
        </bottom>
      </border>
    </dxf>
    <dxf>
      <font>
        <strike val="0"/>
        <outline val="0"/>
        <shadow val="0"/>
        <u/>
        <vertAlign val="baseline"/>
        <sz val="10"/>
        <color theme="1" tint="0.39997558519241921"/>
        <name val="Calibri"/>
        <family val="2"/>
        <scheme val="minor"/>
      </font>
      <numFmt numFmtId="4" formatCode="#,##0.00"/>
      <fill>
        <patternFill patternType="solid">
          <fgColor rgb="FF000000"/>
          <bgColor rgb="FF262626"/>
        </patternFill>
      </fill>
      <alignment horizontal="center" vertical="center" textRotation="0" wrapText="0" indent="0" justifyLastLine="0" shrinkToFit="0" readingOrder="0"/>
      <border diagonalUp="0" diagonalDown="0">
        <left style="thin">
          <color theme="1" tint="-0.249977111117893"/>
        </left>
        <right/>
        <top/>
        <bottom style="thin">
          <color theme="1" tint="-0.249977111117893"/>
        </bottom>
        <vertical/>
        <horizontal/>
      </border>
    </dxf>
    <dxf>
      <fill>
        <patternFill patternType="solid">
          <fgColor indexed="64"/>
          <bgColor rgb="FF000000"/>
        </patternFill>
      </fill>
      <alignment horizontal="center" vertical="center" textRotation="0" wrapText="1" indent="0" justifyLastLine="0" shrinkToFit="0" readingOrder="0"/>
    </dxf>
    <dxf>
      <border>
        <bottom style="thin">
          <color theme="1" tint="-0.249977111117893"/>
        </bottom>
      </border>
    </dxf>
    <dxf>
      <fill>
        <patternFill patternType="solid">
          <fgColor indexed="64"/>
          <bgColor rgb="FF262626"/>
        </patternFill>
      </fill>
      <alignment horizontal="general" vertical="center" textRotation="0" wrapText="0" indent="0" justifyLastLine="0" shrinkToFit="0" readingOrder="0"/>
      <border diagonalUp="0" diagonalDown="0" outline="0">
        <left style="thin">
          <color theme="1" tint="-0.249977111117893"/>
        </left>
        <right style="thin">
          <color theme="1" tint="-0.249977111117893"/>
        </right>
        <top/>
        <bottom/>
      </border>
    </dxf>
    <dxf>
      <numFmt numFmtId="167" formatCode=";;;"/>
    </dxf>
    <dxf>
      <numFmt numFmtId="167" formatCode=";;;"/>
    </dxf>
    <dxf>
      <numFmt numFmtId="167" formatCode=";;;"/>
    </dxf>
    <dxf>
      <alignment horizontal="left"/>
    </dxf>
    <dxf>
      <alignment horizontal="left"/>
    </dxf>
    <dxf>
      <alignment wrapText="1"/>
    </dxf>
    <dxf>
      <alignment wrapText="1"/>
    </dxf>
    <dxf>
      <alignment wrapText="1"/>
    </dxf>
    <dxf>
      <alignment horizontal="left"/>
    </dxf>
    <dxf>
      <alignment horizontal="center"/>
    </dxf>
    <dxf>
      <numFmt numFmtId="14" formatCode="0.00%"/>
    </dxf>
    <dxf>
      <alignment vertical="center"/>
    </dxf>
    <dxf>
      <alignment horizontal="center"/>
    </dxf>
    <dxf>
      <fill>
        <patternFill>
          <bgColor rgb="FF000000"/>
        </patternFill>
      </fill>
    </dxf>
    <dxf>
      <font>
        <sz val="10"/>
        <color theme="0"/>
      </font>
      <fill>
        <patternFill patternType="solid">
          <fgColor theme="1" tint="0.249977111117893"/>
          <bgColor theme="1"/>
        </patternFill>
      </fill>
      <alignment vertical="top" wrapText="1"/>
    </dxf>
    <dxf>
      <alignment horizontal="center"/>
    </dxf>
    <dxf>
      <alignment horizontal="center"/>
    </dxf>
    <dxf>
      <alignment horizontal="center"/>
    </dxf>
    <dxf>
      <numFmt numFmtId="164" formatCode="0.0%"/>
    </dxf>
    <dxf>
      <numFmt numFmtId="164" formatCode="0.0%"/>
    </dxf>
    <dxf>
      <alignment horizontal="center"/>
    </dxf>
    <dxf>
      <alignment horizontal="center"/>
    </dxf>
    <dxf>
      <alignment vertical="center"/>
    </dxf>
    <dxf>
      <alignment vertical="center"/>
    </dxf>
    <dxf>
      <alignment vertical="center"/>
    </dxf>
    <dxf>
      <alignment vertical="center"/>
    </dxf>
    <dxf>
      <font>
        <b/>
        <i val="0"/>
        <strike val="0"/>
        <condense val="0"/>
        <extend val="0"/>
        <outline val="0"/>
        <shadow val="0"/>
        <u val="none"/>
        <vertAlign val="baseline"/>
        <sz val="11"/>
        <color theme="0"/>
        <name val="Calibri"/>
        <family val="2"/>
        <scheme val="minor"/>
      </font>
    </dxf>
    <dxf>
      <font>
        <color theme="0"/>
      </font>
      <border>
        <bottom style="thin">
          <color theme="4"/>
        </bottom>
        <vertical/>
        <horizontal/>
      </border>
    </dxf>
    <dxf>
      <font>
        <color theme="1"/>
      </font>
      <fill>
        <patternFill>
          <bgColor rgb="FF000000"/>
        </patternFill>
      </fill>
      <border diagonalUp="0" diagonalDown="0">
        <left/>
        <right/>
        <top/>
        <bottom/>
        <vertical/>
        <horizontal/>
      </border>
    </dxf>
    <dxf>
      <font>
        <b/>
        <i val="0"/>
        <strike val="0"/>
        <color theme="0"/>
      </font>
      <fill>
        <patternFill patternType="solid">
          <fgColor auto="1"/>
          <bgColor rgb="FF000000"/>
        </patternFill>
      </fill>
      <border>
        <left style="medium">
          <color theme="1" tint="-0.24994659260841701"/>
        </left>
        <right style="medium">
          <color theme="1" tint="-0.24994659260841701"/>
        </right>
        <top style="medium">
          <color theme="1" tint="-0.24994659260841701"/>
        </top>
        <bottom style="medium">
          <color theme="1" tint="-0.24994659260841701"/>
        </bottom>
        <vertical style="medium">
          <color theme="1" tint="-0.24994659260841701"/>
        </vertical>
        <horizontal style="medium">
          <color theme="1" tint="-0.24994659260841701"/>
        </horizontal>
      </border>
    </dxf>
    <dxf>
      <font>
        <color theme="0"/>
      </font>
      <fill>
        <patternFill patternType="solid">
          <fgColor rgb="FF000000"/>
          <bgColor rgb="FF000000"/>
        </patternFill>
      </fill>
      <border>
        <left style="thin">
          <color theme="1" tint="-0.499984740745262"/>
        </left>
        <right style="thin">
          <color theme="1" tint="-0.499984740745262"/>
        </right>
        <top style="thin">
          <color theme="1" tint="-0.499984740745262"/>
        </top>
        <bottom style="thin">
          <color theme="1" tint="-0.499984740745262"/>
        </bottom>
        <vertical style="thin">
          <color theme="1" tint="-0.499984740745262"/>
        </vertical>
        <horizontal style="thin">
          <color theme="1" tint="-0.499984740745262"/>
        </horizontal>
      </border>
    </dxf>
    <dxf>
      <font>
        <color theme="0"/>
      </font>
      <fill>
        <patternFill patternType="solid">
          <fgColor theme="1"/>
          <bgColor rgb="FF000000"/>
        </patternFill>
      </fill>
      <border diagonalUp="0" diagonalDown="0">
        <left style="thin">
          <color theme="1" tint="-0.24994659260841701"/>
        </left>
        <right style="thin">
          <color theme="1" tint="-0.24994659260841701"/>
        </right>
        <top style="thin">
          <color theme="1" tint="-0.24994659260841701"/>
        </top>
        <bottom style="thin">
          <color theme="1" tint="-0.24994659260841701"/>
        </bottom>
        <vertical style="thin">
          <color theme="1" tint="-0.24994659260841701"/>
        </vertical>
        <horizontal style="thin">
          <color theme="1" tint="-0.24994659260841701"/>
        </horizontal>
      </border>
    </dxf>
    <dxf>
      <font>
        <b/>
        <i val="0"/>
        <color theme="0"/>
      </font>
      <fill>
        <patternFill patternType="solid">
          <fgColor auto="1"/>
          <bgColor theme="1" tint="-0.499984740745262"/>
        </patternFill>
      </fill>
      <border>
        <left style="thin">
          <color theme="1" tint="-0.499984740745262"/>
        </left>
        <right style="thin">
          <color theme="1" tint="-0.499984740745262"/>
        </right>
        <top style="thin">
          <color theme="1" tint="-0.499984740745262"/>
        </top>
        <bottom style="thin">
          <color theme="1" tint="-0.499984740745262"/>
        </bottom>
        <vertical style="thin">
          <color theme="1" tint="-0.499984740745262"/>
        </vertical>
        <horizontal style="thin">
          <color theme="1" tint="-0.499984740745262"/>
        </horizontal>
      </border>
    </dxf>
    <dxf>
      <font>
        <color theme="0"/>
      </font>
      <fill>
        <patternFill patternType="solid">
          <fgColor auto="1"/>
          <bgColor rgb="FF000000"/>
        </patternFill>
      </fill>
      <border>
        <left style="thin">
          <color theme="1" tint="-0.499984740745262"/>
        </left>
        <right style="thin">
          <color theme="1" tint="-0.499984740745262"/>
        </right>
        <top style="thin">
          <color theme="1" tint="-0.499984740745262"/>
        </top>
        <bottom style="thin">
          <color theme="1" tint="-0.499984740745262"/>
        </bottom>
        <vertical style="thin">
          <color theme="1" tint="-0.499984740745262"/>
        </vertical>
        <horizontal style="thin">
          <color theme="1" tint="-0.499984740745262"/>
        </horizontal>
      </border>
    </dxf>
  </dxfs>
  <tableStyles count="3" defaultTableStyle="DarkTable" defaultPivotStyle="DarkPivot">
    <tableStyle name="DarkPivot" table="0" count="3" xr9:uid="{F2CB4A64-8CC4-48DA-B721-DC29E793B33C}">
      <tableStyleElement type="wholeTable" dxfId="109"/>
      <tableStyleElement type="headerRow" dxfId="108"/>
      <tableStyleElement type="totalRow" dxfId="107"/>
    </tableStyle>
    <tableStyle name="DarkTable" pivot="0" count="2" xr9:uid="{97C242D2-6F6D-4549-9428-17456D609B35}">
      <tableStyleElement type="wholeTable" dxfId="106"/>
      <tableStyleElement type="headerRow" dxfId="105"/>
    </tableStyle>
    <tableStyle name="SlicerStyleDark" pivot="0" table="0" count="10" xr9:uid="{11F1E452-086F-4069-BF08-FF8656253E5D}">
      <tableStyleElement type="wholeTable" dxfId="104"/>
      <tableStyleElement type="headerRow" dxfId="103"/>
    </tableStyle>
  </tableStyles>
  <colors>
    <mruColors>
      <color rgb="FF000000"/>
      <color rgb="FF262626"/>
      <color rgb="FF040404"/>
      <color rgb="FFD8D8D8"/>
      <color rgb="FF5D1955"/>
      <color rgb="FF1EAC1D"/>
      <color rgb="FF060606"/>
      <color rgb="FF565656"/>
      <color rgb="FFCCCC00"/>
      <color rgb="FFFFFFCC"/>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theme="0"/>
          </font>
          <fill>
            <patternFill patternType="solid">
              <fgColor rgb="FFC0C0C0"/>
              <bgColor rgb="FF262626"/>
            </patternFill>
          </fill>
          <border diagonalUp="0" diagonalDown="0">
            <left/>
            <right/>
            <top/>
            <bottom/>
            <vertical/>
            <horizontal/>
          </border>
        </dxf>
      </x14:dxfs>
    </ext>
    <ext xmlns:x14="http://schemas.microsoft.com/office/spreadsheetml/2009/9/main" uri="{EB79DEF2-80B8-43e5-95BD-54CBDDF9020C}">
      <x14:slicerStyles defaultSlicerStyle="SlicerStyleDark">
        <x14:slicerStyle name="SlicerStyleDark">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theme" Target="theme/theme1.xml"/><Relationship Id="rId18" Type="http://schemas.microsoft.com/office/2017/06/relationships/rdRichValue" Target="richData/rdrichvalue.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pivotCacheDefinition" Target="pivotCache/pivotCacheDefinition2.xml"/><Relationship Id="rId12" Type="http://schemas.microsoft.com/office/2007/relationships/slicerCache" Target="slicerCaches/slicerCache5.xml"/><Relationship Id="rId17" Type="http://schemas.microsoft.com/office/2022/10/relationships/richValueRel" Target="richData/richValueRel.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7/relationships/slicerCache" Target="slicerCaches/slicerCache4.xml"/><Relationship Id="rId5" Type="http://schemas.openxmlformats.org/officeDocument/2006/relationships/worksheet" Target="worksheets/sheet5.xml"/><Relationship Id="rId15" Type="http://schemas.openxmlformats.org/officeDocument/2006/relationships/sharedStrings" Target="sharedStrings.xml"/><Relationship Id="rId23" Type="http://schemas.microsoft.com/office/2006/relationships/vbaProject" Target="vbaProject.bin"/><Relationship Id="rId10" Type="http://schemas.microsoft.com/office/2007/relationships/slicerCache" Target="slicerCaches/slicerCache3.xml"/><Relationship Id="rId19" Type="http://schemas.microsoft.com/office/2017/06/relationships/rdRichValueStructure" Target="richData/rdrichvaluestructure.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styles" Target="styles.xml"/><Relationship Id="rId22" Type="http://schemas.openxmlformats.org/officeDocument/2006/relationships/customXml" Target="../customXml/item1.xml"/></Relationships>
</file>

<file path=xl/drawings/drawing1.xml><?xml version="1.0" encoding="utf-8"?>
<xdr:wsDr xmlns:xdr="http://schemas.openxmlformats.org/drawingml/2006/spreadsheetDrawing" xmlns:a="http://schemas.openxmlformats.org/drawingml/2006/main">
  <xdr:twoCellAnchor>
    <xdr:from>
      <xdr:col>2</xdr:col>
      <xdr:colOff>88392</xdr:colOff>
      <xdr:row>12</xdr:row>
      <xdr:rowOff>0</xdr:rowOff>
    </xdr:from>
    <xdr:to>
      <xdr:col>3</xdr:col>
      <xdr:colOff>995082</xdr:colOff>
      <xdr:row>12</xdr:row>
      <xdr:rowOff>186690</xdr:rowOff>
    </xdr:to>
    <xdr:sp macro="[0]!ToggleSection" textlink="">
      <xdr:nvSpPr>
        <xdr:cNvPr id="2" name="TableSelector">
          <a:extLst>
            <a:ext uri="{FF2B5EF4-FFF2-40B4-BE49-F238E27FC236}">
              <a16:creationId xmlns:a16="http://schemas.microsoft.com/office/drawing/2014/main" id="{94FC644D-6736-491D-A77B-B2B4AD0C8451}"/>
            </a:ext>
          </a:extLst>
        </xdr:cNvPr>
        <xdr:cNvSpPr>
          <a:spLocks/>
        </xdr:cNvSpPr>
      </xdr:nvSpPr>
      <xdr:spPr>
        <a:xfrm>
          <a:off x="469392" y="929640"/>
          <a:ext cx="1645830" cy="1866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lvl="0" algn="l"/>
          <a:endParaRPr lang="en-US" sz="1200" b="1">
            <a:solidFill>
              <a:schemeClr val="accent1">
                <a:lumMod val="20000"/>
                <a:lumOff val="80000"/>
              </a:schemeClr>
            </a:solidFill>
          </a:endParaRPr>
        </a:p>
      </xdr:txBody>
    </xdr:sp>
    <xdr:clientData/>
  </xdr:twoCellAnchor>
  <xdr:twoCellAnchor>
    <xdr:from>
      <xdr:col>2</xdr:col>
      <xdr:colOff>88391</xdr:colOff>
      <xdr:row>24</xdr:row>
      <xdr:rowOff>11430</xdr:rowOff>
    </xdr:from>
    <xdr:to>
      <xdr:col>3</xdr:col>
      <xdr:colOff>959222</xdr:colOff>
      <xdr:row>24</xdr:row>
      <xdr:rowOff>170329</xdr:rowOff>
    </xdr:to>
    <xdr:sp macro="[0]!ToggleSection" textlink="">
      <xdr:nvSpPr>
        <xdr:cNvPr id="3" name="PivotTableFilters">
          <a:extLst>
            <a:ext uri="{FF2B5EF4-FFF2-40B4-BE49-F238E27FC236}">
              <a16:creationId xmlns:a16="http://schemas.microsoft.com/office/drawing/2014/main" id="{ADA5BF84-3BFA-4A6A-B02E-CDAC0F53DC37}"/>
            </a:ext>
          </a:extLst>
        </xdr:cNvPr>
        <xdr:cNvSpPr>
          <a:spLocks/>
        </xdr:cNvSpPr>
      </xdr:nvSpPr>
      <xdr:spPr>
        <a:xfrm>
          <a:off x="469391" y="3036570"/>
          <a:ext cx="1609971" cy="15889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lvl="0" algn="l"/>
          <a:endParaRPr lang="en-US" sz="1200" b="1">
            <a:solidFill>
              <a:schemeClr val="accent1">
                <a:lumMod val="20000"/>
                <a:lumOff val="80000"/>
              </a:schemeClr>
            </a:solidFill>
          </a:endParaRPr>
        </a:p>
      </xdr:txBody>
    </xdr:sp>
    <xdr:clientData/>
  </xdr:twoCellAnchor>
  <xdr:twoCellAnchor>
    <xdr:from>
      <xdr:col>2</xdr:col>
      <xdr:colOff>0</xdr:colOff>
      <xdr:row>14</xdr:row>
      <xdr:rowOff>40068</xdr:rowOff>
    </xdr:from>
    <xdr:to>
      <xdr:col>8</xdr:col>
      <xdr:colOff>114748</xdr:colOff>
      <xdr:row>21</xdr:row>
      <xdr:rowOff>55583</xdr:rowOff>
    </xdr:to>
    <mc:AlternateContent xmlns:mc="http://schemas.openxmlformats.org/markup-compatibility/2006" xmlns:a14="http://schemas.microsoft.com/office/drawing/2010/main">
      <mc:Choice Requires="a14">
        <xdr:graphicFrame macro="">
          <xdr:nvGraphicFramePr>
            <xdr:cNvPr id="4" name="TableSlicer">
              <a:extLst>
                <a:ext uri="{FF2B5EF4-FFF2-40B4-BE49-F238E27FC236}">
                  <a16:creationId xmlns:a16="http://schemas.microsoft.com/office/drawing/2014/main" id="{63B54DF3-0E7D-4D47-A9AD-36E19DE8673F}"/>
                </a:ext>
              </a:extLst>
            </xdr:cNvPr>
            <xdr:cNvGraphicFramePr/>
          </xdr:nvGraphicFramePr>
          <xdr:xfrm>
            <a:off x="0" y="0"/>
            <a:ext cx="0" cy="0"/>
          </xdr:xfrm>
          <a:graphic>
            <a:graphicData uri="http://schemas.microsoft.com/office/drawing/2010/slicer">
              <sle:slicer xmlns:sle="http://schemas.microsoft.com/office/drawing/2010/slicer" name="TableSlicer"/>
            </a:graphicData>
          </a:graphic>
        </xdr:graphicFrame>
      </mc:Choice>
      <mc:Fallback xmlns="">
        <xdr:sp macro="" textlink="">
          <xdr:nvSpPr>
            <xdr:cNvPr id="0" name=""/>
            <xdr:cNvSpPr>
              <a:spLocks noTextEdit="1"/>
            </xdr:cNvSpPr>
          </xdr:nvSpPr>
          <xdr:spPr>
            <a:xfrm>
              <a:off x="430306" y="1613647"/>
              <a:ext cx="6623124"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293078</xdr:colOff>
      <xdr:row>5</xdr:row>
      <xdr:rowOff>0</xdr:rowOff>
    </xdr:from>
    <xdr:to>
      <xdr:col>2</xdr:col>
      <xdr:colOff>1037494</xdr:colOff>
      <xdr:row>6</xdr:row>
      <xdr:rowOff>23446</xdr:rowOff>
    </xdr:to>
    <xdr:sp macro="[0]!ToggleSection" textlink="">
      <xdr:nvSpPr>
        <xdr:cNvPr id="6" name="PivotControls">
          <a:extLst>
            <a:ext uri="{FF2B5EF4-FFF2-40B4-BE49-F238E27FC236}">
              <a16:creationId xmlns:a16="http://schemas.microsoft.com/office/drawing/2014/main" id="{37F73D1F-E672-491C-860B-BBEDC2CF6928}"/>
            </a:ext>
          </a:extLst>
        </xdr:cNvPr>
        <xdr:cNvSpPr>
          <a:spLocks/>
        </xdr:cNvSpPr>
      </xdr:nvSpPr>
      <xdr:spPr>
        <a:xfrm>
          <a:off x="414998" y="1013460"/>
          <a:ext cx="1049216" cy="20632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lvl="0" algn="l"/>
          <a:endParaRPr lang="en-US" sz="1200" b="1">
            <a:solidFill>
              <a:schemeClr val="accent1">
                <a:lumMod val="20000"/>
                <a:lumOff val="80000"/>
              </a:schemeClr>
            </a:solidFill>
          </a:endParaRPr>
        </a:p>
      </xdr:txBody>
    </xdr:sp>
    <xdr:clientData/>
  </xdr:twoCellAnchor>
  <xdr:twoCellAnchor>
    <xdr:from>
      <xdr:col>2</xdr:col>
      <xdr:colOff>22859</xdr:colOff>
      <xdr:row>9</xdr:row>
      <xdr:rowOff>78328</xdr:rowOff>
    </xdr:from>
    <xdr:to>
      <xdr:col>3</xdr:col>
      <xdr:colOff>143436</xdr:colOff>
      <xdr:row>11</xdr:row>
      <xdr:rowOff>72614</xdr:rowOff>
    </xdr:to>
    <xdr:sp macro="[0]!ChangePivotSource" textlink="">
      <xdr:nvSpPr>
        <xdr:cNvPr id="5" name="SyncSourceOptions">
          <a:extLst>
            <a:ext uri="{FF2B5EF4-FFF2-40B4-BE49-F238E27FC236}">
              <a16:creationId xmlns:a16="http://schemas.microsoft.com/office/drawing/2014/main" id="{64A07166-0E4E-4E0D-AF9F-9F597097F93C}"/>
            </a:ext>
          </a:extLst>
        </xdr:cNvPr>
        <xdr:cNvSpPr/>
      </xdr:nvSpPr>
      <xdr:spPr>
        <a:xfrm>
          <a:off x="453165" y="1691975"/>
          <a:ext cx="1205306" cy="352874"/>
        </a:xfrm>
        <a:prstGeom prst="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US" sz="900" b="1"/>
            <a:t>Change</a:t>
          </a:r>
          <a:r>
            <a:rPr lang="en-US" sz="900" b="1" baseline="0"/>
            <a:t> Pivot Source</a:t>
          </a:r>
          <a:endParaRPr lang="en-US" sz="600" b="1"/>
        </a:p>
      </xdr:txBody>
    </xdr:sp>
    <xdr:clientData/>
  </xdr:twoCellAnchor>
  <xdr:twoCellAnchor>
    <xdr:from>
      <xdr:col>1</xdr:col>
      <xdr:colOff>304799</xdr:colOff>
      <xdr:row>26</xdr:row>
      <xdr:rowOff>0</xdr:rowOff>
    </xdr:from>
    <xdr:to>
      <xdr:col>9</xdr:col>
      <xdr:colOff>121919</xdr:colOff>
      <xdr:row>36</xdr:row>
      <xdr:rowOff>0</xdr:rowOff>
    </xdr:to>
    <xdr:grpSp>
      <xdr:nvGrpSpPr>
        <xdr:cNvPr id="18" name="Group 17">
          <a:extLst>
            <a:ext uri="{FF2B5EF4-FFF2-40B4-BE49-F238E27FC236}">
              <a16:creationId xmlns:a16="http://schemas.microsoft.com/office/drawing/2014/main" id="{D907F8A1-19F5-3A29-BAF3-4BD94E1BD4EF}"/>
            </a:ext>
          </a:extLst>
        </xdr:cNvPr>
        <xdr:cNvGrpSpPr/>
      </xdr:nvGrpSpPr>
      <xdr:grpSpPr>
        <a:xfrm>
          <a:off x="430305" y="1972235"/>
          <a:ext cx="7715026" cy="0"/>
          <a:chOff x="426719" y="1981200"/>
          <a:chExt cx="7696200" cy="1828800"/>
        </a:xfrm>
      </xdr:grpSpPr>
      <mc:AlternateContent xmlns:mc="http://schemas.openxmlformats.org/markup-compatibility/2006" xmlns:a14="http://schemas.microsoft.com/office/drawing/2010/main">
        <mc:Choice Requires="a14">
          <xdr:graphicFrame macro="">
            <xdr:nvGraphicFramePr>
              <xdr:cNvPr id="9" name="HasBlank">
                <a:extLst>
                  <a:ext uri="{FF2B5EF4-FFF2-40B4-BE49-F238E27FC236}">
                    <a16:creationId xmlns:a16="http://schemas.microsoft.com/office/drawing/2014/main" id="{960C5C58-5CFD-F630-1B29-677CE16D74B3}"/>
                  </a:ext>
                </a:extLst>
              </xdr:cNvPr>
              <xdr:cNvGraphicFramePr/>
            </xdr:nvGraphicFramePr>
            <xdr:xfrm>
              <a:off x="426719" y="1981200"/>
              <a:ext cx="1828800" cy="1828800"/>
            </xdr:xfrm>
            <a:graphic>
              <a:graphicData uri="http://schemas.microsoft.com/office/drawing/2010/slicer">
                <sle:slicer xmlns:sle="http://schemas.microsoft.com/office/drawing/2010/slicer" name="HasBlank"/>
              </a:graphicData>
            </a:graphic>
          </xdr:graphicFrame>
        </mc:Choice>
        <mc:Fallback xmlns="">
          <xdr:sp macro="" textlink="">
            <xdr:nvSpPr>
              <xdr:cNvPr id="0" name=""/>
              <xdr:cNvSpPr>
                <a:spLocks noTextEdit="1"/>
              </xdr:cNvSpPr>
            </xdr:nvSpPr>
            <xdr:spPr>
              <a:xfrm>
                <a:off x="430305" y="1972235"/>
                <a:ext cx="1833274" cy="179294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0" name="Record List">
                <a:extLst>
                  <a:ext uri="{FF2B5EF4-FFF2-40B4-BE49-F238E27FC236}">
                    <a16:creationId xmlns:a16="http://schemas.microsoft.com/office/drawing/2014/main" id="{F5820D26-E703-1300-8C72-AF37ACCA8DFB}"/>
                  </a:ext>
                </a:extLst>
              </xdr:cNvPr>
              <xdr:cNvGraphicFramePr/>
            </xdr:nvGraphicFramePr>
            <xdr:xfrm>
              <a:off x="2382519" y="1981200"/>
              <a:ext cx="1828800" cy="1828800"/>
            </xdr:xfrm>
            <a:graphic>
              <a:graphicData uri="http://schemas.microsoft.com/office/drawing/2010/slicer">
                <sle:slicer xmlns:sle="http://schemas.microsoft.com/office/drawing/2010/slicer" name="Record List"/>
              </a:graphicData>
            </a:graphic>
          </xdr:graphicFrame>
        </mc:Choice>
        <mc:Fallback xmlns="">
          <xdr:sp macro="" textlink="">
            <xdr:nvSpPr>
              <xdr:cNvPr id="0" name=""/>
              <xdr:cNvSpPr>
                <a:spLocks noTextEdit="1"/>
              </xdr:cNvSpPr>
            </xdr:nvSpPr>
            <xdr:spPr>
              <a:xfrm>
                <a:off x="2390889" y="1972235"/>
                <a:ext cx="1833274" cy="179294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6" name="DarkHeader">
                <a:extLst>
                  <a:ext uri="{FF2B5EF4-FFF2-40B4-BE49-F238E27FC236}">
                    <a16:creationId xmlns:a16="http://schemas.microsoft.com/office/drawing/2014/main" id="{D4F2CF3E-A087-2AC7-FA05-5922D5CF6CDD}"/>
                  </a:ext>
                </a:extLst>
              </xdr:cNvPr>
              <xdr:cNvGraphicFramePr/>
            </xdr:nvGraphicFramePr>
            <xdr:xfrm>
              <a:off x="4338319" y="1981200"/>
              <a:ext cx="1828800" cy="1828800"/>
            </xdr:xfrm>
            <a:graphic>
              <a:graphicData uri="http://schemas.microsoft.com/office/drawing/2010/slicer">
                <sle:slicer xmlns:sle="http://schemas.microsoft.com/office/drawing/2010/slicer" name="DarkHeader"/>
              </a:graphicData>
            </a:graphic>
          </xdr:graphicFrame>
        </mc:Choice>
        <mc:Fallback xmlns="">
          <xdr:sp macro="" textlink="">
            <xdr:nvSpPr>
              <xdr:cNvPr id="0" name=""/>
              <xdr:cNvSpPr>
                <a:spLocks noTextEdit="1"/>
              </xdr:cNvSpPr>
            </xdr:nvSpPr>
            <xdr:spPr>
              <a:xfrm>
                <a:off x="4351473" y="1972235"/>
                <a:ext cx="1833274" cy="179294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7" name="FormatRange">
                <a:extLst>
                  <a:ext uri="{FF2B5EF4-FFF2-40B4-BE49-F238E27FC236}">
                    <a16:creationId xmlns:a16="http://schemas.microsoft.com/office/drawing/2014/main" id="{CEBA521E-CF7E-C31D-CFD6-41B0A59DB9A0}"/>
                  </a:ext>
                </a:extLst>
              </xdr:cNvPr>
              <xdr:cNvGraphicFramePr/>
            </xdr:nvGraphicFramePr>
            <xdr:xfrm>
              <a:off x="6294119" y="1981200"/>
              <a:ext cx="1828800" cy="1828800"/>
            </xdr:xfrm>
            <a:graphic>
              <a:graphicData uri="http://schemas.microsoft.com/office/drawing/2010/slicer">
                <sle:slicer xmlns:sle="http://schemas.microsoft.com/office/drawing/2010/slicer" name="FormatRange"/>
              </a:graphicData>
            </a:graphic>
          </xdr:graphicFrame>
        </mc:Choice>
        <mc:Fallback xmlns="">
          <xdr:sp macro="" textlink="">
            <xdr:nvSpPr>
              <xdr:cNvPr id="0" name=""/>
              <xdr:cNvSpPr>
                <a:spLocks noTextEdit="1"/>
              </xdr:cNvSpPr>
            </xdr:nvSpPr>
            <xdr:spPr>
              <a:xfrm>
                <a:off x="6312057" y="1972235"/>
                <a:ext cx="1833274" cy="179294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303545</xdr:colOff>
      <xdr:row>74</xdr:row>
      <xdr:rowOff>20395</xdr:rowOff>
    </xdr:from>
    <xdr:to>
      <xdr:col>3</xdr:col>
      <xdr:colOff>340659</xdr:colOff>
      <xdr:row>74</xdr:row>
      <xdr:rowOff>170329</xdr:rowOff>
    </xdr:to>
    <xdr:sp macro="[0]!ToggleSection" textlink="">
      <xdr:nvSpPr>
        <xdr:cNvPr id="3" name="Dataframes">
          <a:extLst>
            <a:ext uri="{FF2B5EF4-FFF2-40B4-BE49-F238E27FC236}">
              <a16:creationId xmlns:a16="http://schemas.microsoft.com/office/drawing/2014/main" id="{AEE4EF18-F7A4-40B1-99EE-C12908FE3B70}"/>
            </a:ext>
          </a:extLst>
        </xdr:cNvPr>
        <xdr:cNvSpPr>
          <a:spLocks/>
        </xdr:cNvSpPr>
      </xdr:nvSpPr>
      <xdr:spPr>
        <a:xfrm>
          <a:off x="429051" y="1096160"/>
          <a:ext cx="826008" cy="14993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lvl="0" algn="l"/>
          <a:endParaRPr lang="en-US" sz="1200" b="1">
            <a:solidFill>
              <a:schemeClr val="accent1">
                <a:lumMod val="20000"/>
                <a:lumOff val="80000"/>
              </a:schemeClr>
            </a:solidFill>
          </a:endParaRPr>
        </a:p>
      </xdr:txBody>
    </xdr:sp>
    <xdr:clientData/>
  </xdr:twoCellAnchor>
  <xdr:twoCellAnchor>
    <xdr:from>
      <xdr:col>2</xdr:col>
      <xdr:colOff>25639</xdr:colOff>
      <xdr:row>81</xdr:row>
      <xdr:rowOff>20395</xdr:rowOff>
    </xdr:from>
    <xdr:to>
      <xdr:col>2</xdr:col>
      <xdr:colOff>412376</xdr:colOff>
      <xdr:row>81</xdr:row>
      <xdr:rowOff>170330</xdr:rowOff>
    </xdr:to>
    <xdr:sp macro="[0]!ToggleSection" textlink="">
      <xdr:nvSpPr>
        <xdr:cNvPr id="4" name="Fields">
          <a:extLst>
            <a:ext uri="{FF2B5EF4-FFF2-40B4-BE49-F238E27FC236}">
              <a16:creationId xmlns:a16="http://schemas.microsoft.com/office/drawing/2014/main" id="{2D2E0745-6744-4B6C-82F3-B6558F545134}"/>
            </a:ext>
          </a:extLst>
        </xdr:cNvPr>
        <xdr:cNvSpPr>
          <a:spLocks/>
        </xdr:cNvSpPr>
      </xdr:nvSpPr>
      <xdr:spPr>
        <a:xfrm>
          <a:off x="455945" y="2422936"/>
          <a:ext cx="386737" cy="14993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lvl="0" algn="l"/>
          <a:endParaRPr lang="en-US" sz="1200" b="1">
            <a:solidFill>
              <a:schemeClr val="accent1">
                <a:lumMod val="20000"/>
                <a:lumOff val="80000"/>
              </a:schemeClr>
            </a:solidFill>
          </a:endParaRPr>
        </a:p>
      </xdr:txBody>
    </xdr:sp>
    <xdr:clientData/>
  </xdr:twoCellAnchor>
  <xdr:twoCellAnchor>
    <xdr:from>
      <xdr:col>2</xdr:col>
      <xdr:colOff>24384</xdr:colOff>
      <xdr:row>4</xdr:row>
      <xdr:rowOff>18489</xdr:rowOff>
    </xdr:from>
    <xdr:to>
      <xdr:col>2</xdr:col>
      <xdr:colOff>295835</xdr:colOff>
      <xdr:row>4</xdr:row>
      <xdr:rowOff>161364</xdr:rowOff>
    </xdr:to>
    <xdr:sp macro="[0]!ToggleSection" textlink="">
      <xdr:nvSpPr>
        <xdr:cNvPr id="2" name="Debug">
          <a:extLst>
            <a:ext uri="{FF2B5EF4-FFF2-40B4-BE49-F238E27FC236}">
              <a16:creationId xmlns:a16="http://schemas.microsoft.com/office/drawing/2014/main" id="{52D9C2FB-B10E-4EB0-AA5F-EDE6A50FD08A}"/>
            </a:ext>
          </a:extLst>
        </xdr:cNvPr>
        <xdr:cNvSpPr>
          <a:spLocks/>
        </xdr:cNvSpPr>
      </xdr:nvSpPr>
      <xdr:spPr>
        <a:xfrm>
          <a:off x="454690" y="717736"/>
          <a:ext cx="271451" cy="14287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24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69678</xdr:colOff>
      <xdr:row>4</xdr:row>
      <xdr:rowOff>29337</xdr:rowOff>
    </xdr:from>
    <xdr:to>
      <xdr:col>2</xdr:col>
      <xdr:colOff>1725504</xdr:colOff>
      <xdr:row>4</xdr:row>
      <xdr:rowOff>382143</xdr:rowOff>
    </xdr:to>
    <xdr:sp macro="[0]!ToggleSection" textlink="">
      <xdr:nvSpPr>
        <xdr:cNvPr id="2" name="Field Analysis">
          <a:extLst>
            <a:ext uri="{FF2B5EF4-FFF2-40B4-BE49-F238E27FC236}">
              <a16:creationId xmlns:a16="http://schemas.microsoft.com/office/drawing/2014/main" id="{AAD21EB8-97FA-4F07-B953-2B1EACD3EE5F}"/>
            </a:ext>
          </a:extLst>
        </xdr:cNvPr>
        <xdr:cNvSpPr>
          <a:spLocks/>
        </xdr:cNvSpPr>
      </xdr:nvSpPr>
      <xdr:spPr>
        <a:xfrm>
          <a:off x="499984" y="343102"/>
          <a:ext cx="1655826" cy="35280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2400" b="1"/>
        </a:p>
      </xdr:txBody>
    </xdr:sp>
    <xdr:clientData/>
  </xdr:twoCellAnchor>
  <xdr:twoCellAnchor>
    <xdr:from>
      <xdr:col>2</xdr:col>
      <xdr:colOff>88392</xdr:colOff>
      <xdr:row>22</xdr:row>
      <xdr:rowOff>11430</xdr:rowOff>
    </xdr:from>
    <xdr:to>
      <xdr:col>2</xdr:col>
      <xdr:colOff>1679448</xdr:colOff>
      <xdr:row>22</xdr:row>
      <xdr:rowOff>240030</xdr:rowOff>
    </xdr:to>
    <xdr:sp macro="[0]!ToggleSection" textlink="">
      <xdr:nvSpPr>
        <xdr:cNvPr id="3" name="Composition">
          <a:extLst>
            <a:ext uri="{FF2B5EF4-FFF2-40B4-BE49-F238E27FC236}">
              <a16:creationId xmlns:a16="http://schemas.microsoft.com/office/drawing/2014/main" id="{19E93C40-C710-4E72-974A-0B53E31F60E3}"/>
            </a:ext>
          </a:extLst>
        </xdr:cNvPr>
        <xdr:cNvSpPr>
          <a:spLocks/>
        </xdr:cNvSpPr>
      </xdr:nvSpPr>
      <xdr:spPr>
        <a:xfrm>
          <a:off x="484632" y="4674870"/>
          <a:ext cx="1591056" cy="2286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lvl="0" algn="l"/>
          <a:endParaRPr lang="en-US" sz="1200" b="1">
            <a:solidFill>
              <a:schemeClr val="accent1">
                <a:lumMod val="20000"/>
                <a:lumOff val="80000"/>
              </a:schemeClr>
            </a:solidFill>
          </a:endParaRPr>
        </a:p>
      </xdr:txBody>
    </xdr:sp>
    <xdr:clientData/>
  </xdr:twoCellAnchor>
  <xdr:twoCellAnchor>
    <xdr:from>
      <xdr:col>2</xdr:col>
      <xdr:colOff>88392</xdr:colOff>
      <xdr:row>35</xdr:row>
      <xdr:rowOff>11430</xdr:rowOff>
    </xdr:from>
    <xdr:to>
      <xdr:col>2</xdr:col>
      <xdr:colOff>1679448</xdr:colOff>
      <xdr:row>35</xdr:row>
      <xdr:rowOff>240030</xdr:rowOff>
    </xdr:to>
    <xdr:sp macro="[0]!ToggleSection" textlink="">
      <xdr:nvSpPr>
        <xdr:cNvPr id="4" name="Summary Stats">
          <a:extLst>
            <a:ext uri="{FF2B5EF4-FFF2-40B4-BE49-F238E27FC236}">
              <a16:creationId xmlns:a16="http://schemas.microsoft.com/office/drawing/2014/main" id="{9EEF259A-1E72-4B76-858B-B9E0AF1688A3}"/>
            </a:ext>
          </a:extLst>
        </xdr:cNvPr>
        <xdr:cNvSpPr>
          <a:spLocks/>
        </xdr:cNvSpPr>
      </xdr:nvSpPr>
      <xdr:spPr>
        <a:xfrm>
          <a:off x="484632" y="8538210"/>
          <a:ext cx="1591056" cy="2286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200" b="1">
            <a:solidFill>
              <a:schemeClr val="accent1">
                <a:lumMod val="20000"/>
                <a:lumOff val="80000"/>
              </a:schemeClr>
            </a:solidFill>
          </a:endParaRPr>
        </a:p>
      </xdr:txBody>
    </xdr:sp>
    <xdr:clientData/>
  </xdr:twoCellAnchor>
  <xdr:twoCellAnchor>
    <xdr:from>
      <xdr:col>2</xdr:col>
      <xdr:colOff>88392</xdr:colOff>
      <xdr:row>45</xdr:row>
      <xdr:rowOff>11430</xdr:rowOff>
    </xdr:from>
    <xdr:to>
      <xdr:col>2</xdr:col>
      <xdr:colOff>1679448</xdr:colOff>
      <xdr:row>45</xdr:row>
      <xdr:rowOff>240030</xdr:rowOff>
    </xdr:to>
    <xdr:sp macro="[0]!ToggleSection" textlink="">
      <xdr:nvSpPr>
        <xdr:cNvPr id="5" name="Percentiles">
          <a:extLst>
            <a:ext uri="{FF2B5EF4-FFF2-40B4-BE49-F238E27FC236}">
              <a16:creationId xmlns:a16="http://schemas.microsoft.com/office/drawing/2014/main" id="{F4B45ED1-00FA-4CD8-B801-6B4780085F5A}"/>
            </a:ext>
          </a:extLst>
        </xdr:cNvPr>
        <xdr:cNvSpPr>
          <a:spLocks/>
        </xdr:cNvSpPr>
      </xdr:nvSpPr>
      <xdr:spPr>
        <a:xfrm>
          <a:off x="484632" y="11852910"/>
          <a:ext cx="1591056" cy="2286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200" b="1">
            <a:solidFill>
              <a:schemeClr val="accent1">
                <a:lumMod val="20000"/>
                <a:lumOff val="80000"/>
              </a:schemeClr>
            </a:solidFill>
          </a:endParaRPr>
        </a:p>
      </xdr:txBody>
    </xdr:sp>
    <xdr:clientData/>
  </xdr:twoCellAnchor>
  <xdr:twoCellAnchor>
    <xdr:from>
      <xdr:col>2</xdr:col>
      <xdr:colOff>88392</xdr:colOff>
      <xdr:row>57</xdr:row>
      <xdr:rowOff>11430</xdr:rowOff>
    </xdr:from>
    <xdr:to>
      <xdr:col>2</xdr:col>
      <xdr:colOff>1679448</xdr:colOff>
      <xdr:row>57</xdr:row>
      <xdr:rowOff>240030</xdr:rowOff>
    </xdr:to>
    <xdr:sp macro="[0]!ToggleSection" textlink="">
      <xdr:nvSpPr>
        <xdr:cNvPr id="6" name="Field Lists">
          <a:extLst>
            <a:ext uri="{FF2B5EF4-FFF2-40B4-BE49-F238E27FC236}">
              <a16:creationId xmlns:a16="http://schemas.microsoft.com/office/drawing/2014/main" id="{F0E37346-6444-4787-8886-3A0E8BF611B3}"/>
            </a:ext>
          </a:extLst>
        </xdr:cNvPr>
        <xdr:cNvSpPr>
          <a:spLocks/>
        </xdr:cNvSpPr>
      </xdr:nvSpPr>
      <xdr:spPr>
        <a:xfrm>
          <a:off x="484632" y="13933170"/>
          <a:ext cx="1591056" cy="2286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200" b="1">
            <a:solidFill>
              <a:schemeClr val="accent1">
                <a:lumMod val="20000"/>
                <a:lumOff val="80000"/>
              </a:schemeClr>
            </a:solidFill>
          </a:endParaRPr>
        </a:p>
      </xdr:txBody>
    </xdr:sp>
    <xdr:clientData/>
  </xdr:twoCellAnchor>
  <xdr:twoCellAnchor>
    <xdr:from>
      <xdr:col>2</xdr:col>
      <xdr:colOff>88392</xdr:colOff>
      <xdr:row>68</xdr:row>
      <xdr:rowOff>11430</xdr:rowOff>
    </xdr:from>
    <xdr:to>
      <xdr:col>2</xdr:col>
      <xdr:colOff>1679448</xdr:colOff>
      <xdr:row>68</xdr:row>
      <xdr:rowOff>240030</xdr:rowOff>
    </xdr:to>
    <xdr:sp macro="[0]!ToggleSection" textlink="">
      <xdr:nvSpPr>
        <xdr:cNvPr id="7" name="Compiled Lists">
          <a:extLst>
            <a:ext uri="{FF2B5EF4-FFF2-40B4-BE49-F238E27FC236}">
              <a16:creationId xmlns:a16="http://schemas.microsoft.com/office/drawing/2014/main" id="{DEBF7C82-F8FC-4343-8AE4-B3BDD7A4A8B1}"/>
            </a:ext>
          </a:extLst>
        </xdr:cNvPr>
        <xdr:cNvSpPr>
          <a:spLocks/>
        </xdr:cNvSpPr>
      </xdr:nvSpPr>
      <xdr:spPr>
        <a:xfrm>
          <a:off x="484632" y="15830550"/>
          <a:ext cx="1591056" cy="2286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200" b="1" baseline="0">
            <a:solidFill>
              <a:schemeClr val="accent1">
                <a:lumMod val="20000"/>
                <a:lumOff val="80000"/>
              </a:schemeClr>
            </a:solidFill>
          </a:endParaRPr>
        </a:p>
      </xdr:txBody>
    </xdr:sp>
    <xdr:clientData/>
  </xdr:twoCellAnchor>
  <xdr:twoCellAnchor>
    <xdr:from>
      <xdr:col>2</xdr:col>
      <xdr:colOff>88392</xdr:colOff>
      <xdr:row>6</xdr:row>
      <xdr:rowOff>11430</xdr:rowOff>
    </xdr:from>
    <xdr:to>
      <xdr:col>2</xdr:col>
      <xdr:colOff>1679448</xdr:colOff>
      <xdr:row>6</xdr:row>
      <xdr:rowOff>240030</xdr:rowOff>
    </xdr:to>
    <xdr:sp macro="[0]!ToggleSection" textlink="">
      <xdr:nvSpPr>
        <xdr:cNvPr id="10" name="Data Description">
          <a:extLst>
            <a:ext uri="{FF2B5EF4-FFF2-40B4-BE49-F238E27FC236}">
              <a16:creationId xmlns:a16="http://schemas.microsoft.com/office/drawing/2014/main" id="{64E88DDB-40F6-4854-9B76-AEBE1DBCAC61}"/>
            </a:ext>
          </a:extLst>
        </xdr:cNvPr>
        <xdr:cNvSpPr>
          <a:spLocks/>
        </xdr:cNvSpPr>
      </xdr:nvSpPr>
      <xdr:spPr>
        <a:xfrm>
          <a:off x="525421" y="2902548"/>
          <a:ext cx="1591056" cy="18097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lvl="0" algn="l"/>
          <a:endParaRPr lang="en-US" sz="1200" b="1">
            <a:solidFill>
              <a:schemeClr val="accent1">
                <a:lumMod val="20000"/>
                <a:lumOff val="80000"/>
              </a:schemeClr>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rivers" refreshedDate="46192.763419444447" createdVersion="3" refreshedVersion="8" minRefreshableVersion="3" recordCount="2" xr:uid="{D3D2A056-FD03-44DC-8075-ABF5843AADB9}">
  <cacheSource type="worksheet">
    <worksheetSource ref="C81:F83" sheet="Field Analysis"/>
  </cacheSource>
  <cacheFields count="4">
    <cacheField name="Record List" numFmtId="0">
      <sharedItems count="1">
        <b v="0"/>
      </sharedItems>
    </cacheField>
    <cacheField name="DarkHeader" numFmtId="0">
      <sharedItems containsNonDate="0" containsString="0" containsBlank="1" count="1">
        <m/>
      </sharedItems>
    </cacheField>
    <cacheField name="HasBlank" numFmtId="0">
      <sharedItems containsNonDate="0" containsString="0" containsBlank="1" count="1">
        <m/>
      </sharedItems>
    </cacheField>
    <cacheField name="FormatRange" numFmtId="0">
      <sharedItems containsNonDate="0" containsString="0" containsBlank="1" count="1">
        <m/>
      </sharedItems>
    </cacheField>
  </cacheFields>
  <extLst>
    <ext xmlns:x14="http://schemas.microsoft.com/office/spreadsheetml/2009/9/main" uri="{725AE2AE-9491-48be-B2B4-4EB974FC3084}">
      <x14:pivotCacheDefinition pivotCacheId="31691654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rivers" refreshedDate="46193.68299976852" createdVersion="8" refreshedVersion="8" minRefreshableVersion="3" recordCount="1" xr:uid="{FB6F78EC-1A2F-4139-92CB-B4FB8499C8AD}">
  <cacheSource type="worksheet">
    <worksheetSource name="tbl_Tables"/>
  </cacheSource>
  <cacheFields count="2">
    <cacheField name="TableName" numFmtId="0">
      <sharedItems count="16">
        <s v="tbl_SourceData"/>
        <s v="tbl_SourceData_calendar" u="1"/>
        <s v="tbl_SourceData_candle" u="1"/>
        <s v="tbl_SourceData_christmas_cost" u="1"/>
        <s v="tbl_SourceData_companies" u="1"/>
        <s v="tbl_SourceData_country_stats_" u="1"/>
        <s v="tbl_SourceData_gold_vs_bitcoi" u="1"/>
        <s v="tbl_SourceData_japan_births_d" u="1"/>
        <s v="tbl_SourceData_metrics" u="1"/>
        <s v="tbl_SourceData_niger_populati" u="1"/>
        <s v="tbl_SourceData_quotes" u="1"/>
        <s v="tbl_SourceData_radar" u="1"/>
        <s v="tbl_SourceData_sankey" u="1"/>
        <s v="tbl_SourceData_search_trends" u="1"/>
        <s v="tbl_SourceData_tree" u="1"/>
        <s v="tbl_SourceData_japan_populati" u="1"/>
      </sharedItems>
    </cacheField>
    <cacheField name="WorksheetName" numFmtId="0">
      <sharedItems count="18">
        <s v="Field Analysis"/>
        <s v="Bank Failure" u="1"/>
        <s v="Calendar" u="1"/>
        <s v="Candle" u="1"/>
        <s v="Christmas Cost" u="1"/>
        <s v="Companies" u="1"/>
        <s v="Country Stats" u="1"/>
        <s v="Gold vs Bitcoin" u="1"/>
        <s v="Japan Births" u="1"/>
        <s v="Metrics" u="1"/>
        <s v="Niger Population" u="1"/>
        <s v="Quotes" u="1"/>
        <s v="Radar" u="1"/>
        <s v="Sankey" u="1"/>
        <s v="Search Trends" u="1"/>
        <s v="Tree" u="1"/>
        <s v="Japan Population" u="1"/>
        <s v="Bank Failure2" u="1"/>
      </sharedItems>
    </cacheField>
  </cacheFields>
  <extLst>
    <ext xmlns:x14="http://schemas.microsoft.com/office/spreadsheetml/2009/9/main" uri="{725AE2AE-9491-48be-B2B4-4EB974FC3084}">
      <x14:pivotCacheDefinition pivotCacheId="157963895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
  <r>
    <x v="0"/>
    <x v="0"/>
    <x v="0"/>
    <x v="0"/>
  </r>
  <r>
    <x v="0"/>
    <x v="0"/>
    <x v="0"/>
    <x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4B028F0-FFB4-4C25-8B5B-2486BA8DAF83}" name="pvt_TableSelector" cacheId="6" applyNumberFormats="0" applyBorderFormats="0" applyFontFormats="0" applyPatternFormats="0" applyAlignmentFormats="0" applyWidthHeightFormats="1" dataCaption="Values" updatedVersion="8" minRefreshableVersion="3" showDrill="0" rowGrandTotals="0" itemPrintTitles="1" createdVersion="8" indent="0" compact="0" compactData="0" multipleFieldFilters="0">
  <location ref="F1:G2" firstHeaderRow="1" firstDataRow="1" firstDataCol="2"/>
  <pivotFields count="2">
    <pivotField axis="axisRow" compact="0" outline="0" showAll="0" defaultSubtotal="0">
      <items count="16">
        <item x="0"/>
        <item m="1" x="1"/>
        <item m="1" x="2"/>
        <item m="1" x="3"/>
        <item m="1" x="4"/>
        <item m="1" x="5"/>
        <item m="1" x="6"/>
        <item m="1" x="7"/>
        <item m="1" x="15"/>
        <item m="1" x="8"/>
        <item m="1" x="9"/>
        <item m="1" x="10"/>
        <item m="1" x="11"/>
        <item m="1" x="12"/>
        <item m="1" x="13"/>
        <item m="1" x="14"/>
      </items>
    </pivotField>
    <pivotField axis="axisRow" compact="0" outline="0" showAll="0" defaultSubtotal="0">
      <items count="18">
        <item h="1" m="1" x="17"/>
        <item h="1" m="1" x="2"/>
        <item h="1" m="1" x="3"/>
        <item h="1" m="1" x="4"/>
        <item h="1" m="1" x="5"/>
        <item h="1" m="1" x="6"/>
        <item h="1" m="1" x="7"/>
        <item h="1" m="1" x="8"/>
        <item h="1" m="1" x="16"/>
        <item h="1" m="1" x="9"/>
        <item h="1" m="1" x="10"/>
        <item h="1" m="1" x="11"/>
        <item h="1" m="1" x="12"/>
        <item h="1" m="1" x="13"/>
        <item h="1" m="1" x="14"/>
        <item h="1" m="1" x="15"/>
        <item h="1" m="1" x="1"/>
        <item x="0"/>
      </items>
    </pivotField>
  </pivotFields>
  <rowFields count="2">
    <field x="1"/>
    <field x="0"/>
  </rowFields>
  <rowItems count="1">
    <i>
      <x v="17"/>
      <x/>
    </i>
  </rowItems>
  <colItems count="1">
    <i/>
  </colItems>
  <pivotTableStyleInfo name="DarkPivot"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E0DDF35-0092-4D10-A27A-5A6273D0771D}" name="pvt_Pivot" cacheId="0" applyNumberFormats="0" applyBorderFormats="0" applyFontFormats="0" applyPatternFormats="0" applyAlignmentFormats="0" applyWidthHeightFormats="1" dataCaption="Values" showError="1" updatedVersion="8" minRefreshableVersion="3" rowGrandTotals="0" itemPrintTitles="1" createdVersion="8" indent="0" compact="0" compactData="0" multipleFieldFilters="0">
  <location ref="C39:G40" firstHeaderRow="0" firstDataRow="1" firstDataCol="2"/>
  <pivotFields count="4">
    <pivotField compact="0" outline="0" showAll="0">
      <items count="2">
        <item x="0"/>
        <item t="default"/>
      </items>
    </pivotField>
    <pivotField axis="axisRow" compact="0" outline="0" showAll="0" defaultSubtotal="0">
      <items count="1">
        <item sd="0" x="0"/>
      </items>
    </pivotField>
    <pivotField dataField="1" compact="0" outline="0" showAll="0">
      <items count="2">
        <item x="0"/>
        <item t="default"/>
      </items>
    </pivotField>
    <pivotField axis="axisRow" compact="0" outline="0" showAll="0" defaultSubtotal="0">
      <items count="1">
        <item x="0"/>
      </items>
    </pivotField>
  </pivotFields>
  <rowFields count="2">
    <field x="1"/>
    <field x="3"/>
  </rowFields>
  <rowItems count="1">
    <i>
      <x/>
    </i>
  </rowItems>
  <colFields count="1">
    <field x="-2"/>
  </colFields>
  <colItems count="3">
    <i>
      <x/>
    </i>
    <i i="1">
      <x v="1"/>
    </i>
    <i i="2">
      <x v="2"/>
    </i>
  </colItems>
  <dataFields count="3">
    <dataField name="Has Blank %" fld="2" subtotal="average" baseField="0" baseItem="1" numFmtId="164"/>
    <dataField name="% of Total Blanks" fld="2" showDataAs="percentOfTotal" baseField="0" baseItem="1" numFmtId="164"/>
    <dataField name="% of Records" fld="2" subtotal="count" showDataAs="percentOfTotal" baseField="0" baseItem="2" numFmtId="10"/>
  </dataFields>
  <formats count="23">
    <format dxfId="101">
      <pivotArea type="all" dataOnly="0" outline="0" fieldPosition="0"/>
    </format>
    <format dxfId="100">
      <pivotArea outline="0" collapsedLevelsAreSubtotals="1" fieldPosition="0"/>
    </format>
    <format dxfId="99">
      <pivotArea dataOnly="0" labelOnly="1" grandRow="1" outline="0" fieldPosition="0"/>
    </format>
    <format dxfId="98">
      <pivotArea dataOnly="0" labelOnly="1" outline="0" fieldPosition="0">
        <references count="1">
          <reference field="4294967294" count="2">
            <x v="0"/>
            <x v="1"/>
          </reference>
        </references>
      </pivotArea>
    </format>
    <format dxfId="97">
      <pivotArea type="all" dataOnly="0" outline="0" fieldPosition="0"/>
    </format>
    <format dxfId="96">
      <pivotArea dataOnly="0" outline="0" fieldPosition="0">
        <references count="1">
          <reference field="4294967294" count="1">
            <x v="0"/>
          </reference>
        </references>
      </pivotArea>
    </format>
    <format dxfId="95">
      <pivotArea outline="0" fieldPosition="0">
        <references count="1">
          <reference field="4294967294" count="1">
            <x v="0"/>
          </reference>
        </references>
      </pivotArea>
    </format>
    <format dxfId="94">
      <pivotArea outline="0" fieldPosition="0">
        <references count="1">
          <reference field="4294967294" count="1">
            <x v="1"/>
          </reference>
        </references>
      </pivotArea>
    </format>
    <format dxfId="93">
      <pivotArea type="all" dataOnly="0" outline="0" fieldPosition="0"/>
    </format>
    <format dxfId="92">
      <pivotArea outline="0" collapsedLevelsAreSubtotals="1" fieldPosition="0"/>
    </format>
    <format dxfId="91">
      <pivotArea dataOnly="0" outline="0" fieldPosition="0">
        <references count="1">
          <reference field="4294967294" count="2">
            <x v="0"/>
            <x v="1"/>
          </reference>
        </references>
      </pivotArea>
    </format>
    <format dxfId="90">
      <pivotArea outline="0" fieldPosition="0">
        <references count="1">
          <reference field="4294967294" count="1" selected="0">
            <x v="1"/>
          </reference>
        </references>
      </pivotArea>
    </format>
    <format dxfId="89">
      <pivotArea dataOnly="0" outline="0" fieldPosition="0">
        <references count="1">
          <reference field="4294967294" count="1">
            <x v="1"/>
          </reference>
        </references>
      </pivotArea>
    </format>
    <format dxfId="88">
      <pivotArea type="all" dataOnly="0" outline="0" fieldPosition="0"/>
    </format>
    <format dxfId="87">
      <pivotArea type="all" dataOnly="0" outline="0" fieldPosition="0"/>
    </format>
    <format dxfId="86">
      <pivotArea outline="0" fieldPosition="0">
        <references count="1">
          <reference field="4294967294" count="1">
            <x v="2"/>
          </reference>
        </references>
      </pivotArea>
    </format>
    <format dxfId="85">
      <pivotArea dataOnly="0" labelOnly="1" outline="0" fieldPosition="0">
        <references count="1">
          <reference field="4294967294" count="3">
            <x v="0"/>
            <x v="1"/>
            <x v="2"/>
          </reference>
        </references>
      </pivotArea>
    </format>
    <format dxfId="84">
      <pivotArea dataOnly="0" labelOnly="1" grandRow="1" outline="0" fieldPosition="0"/>
    </format>
    <format dxfId="83">
      <pivotArea field="1" type="button" dataOnly="0" labelOnly="1" outline="0" axis="axisRow" fieldPosition="0"/>
    </format>
    <format dxfId="82">
      <pivotArea field="3" type="button" dataOnly="0" labelOnly="1" outline="0" axis="axisRow" fieldPosition="1"/>
    </format>
    <format dxfId="81">
      <pivotArea dataOnly="0" labelOnly="1" outline="0" fieldPosition="0">
        <references count="1">
          <reference field="4294967294" count="3">
            <x v="0"/>
            <x v="1"/>
            <x v="2"/>
          </reference>
        </references>
      </pivotArea>
    </format>
    <format dxfId="80">
      <pivotArea field="1" type="button" dataOnly="0" labelOnly="1" outline="0" axis="axisRow" fieldPosition="0"/>
    </format>
    <format dxfId="79">
      <pivotArea dataOnly="0" labelOnly="1" outline="0" fieldPosition="0">
        <references count="1">
          <reference field="1" count="0"/>
        </references>
      </pivotArea>
    </format>
  </formats>
  <conditionalFormats count="2">
    <conditionalFormat scope="data" priority="1">
      <pivotAreas count="1">
        <pivotArea outline="0" fieldPosition="0">
          <references count="1">
            <reference field="4294967294" count="1" selected="0">
              <x v="1"/>
            </reference>
          </references>
        </pivotArea>
      </pivotAreas>
    </conditionalFormat>
    <conditionalFormat scope="data" priority="2">
      <pivotAreas count="1">
        <pivotArea outline="0" fieldPosition="0">
          <references count="1">
            <reference field="4294967294" count="1" selected="0">
              <x v="0"/>
            </reference>
          </references>
        </pivotArea>
      </pivotAreas>
    </conditionalFormat>
  </conditionalFormats>
  <pivotTableStyleInfo name="DarkPivot"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orksheetName" xr10:uid="{7FA6C060-58DF-4E31-B37D-C4B122B72C4A}" sourceName="WorksheetName">
  <pivotTables>
    <pivotTable tabId="67" name="pvt_TableSelector"/>
  </pivotTables>
  <data>
    <tabular pivotCacheId="1579638952" showMissing="0">
      <items count="18">
        <i x="0" s="1"/>
        <i x="1" nd="1"/>
        <i x="17" nd="1"/>
        <i x="2" nd="1"/>
        <i x="3" nd="1"/>
        <i x="4" nd="1"/>
        <i x="5" nd="1"/>
        <i x="6" nd="1"/>
        <i x="7" nd="1"/>
        <i x="8" nd="1"/>
        <i x="16" nd="1"/>
        <i x="9" nd="1"/>
        <i x="10" nd="1"/>
        <i x="11" nd="1"/>
        <i x="12" nd="1"/>
        <i x="13" nd="1"/>
        <i x="14" nd="1"/>
        <i x="15"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asBlank" xr10:uid="{CDD92D8C-C996-479D-A5D3-749B8FDF34BB}" sourceName="HasBlank">
  <pivotTables>
    <pivotTable tabId="68" name="pvt_Pivot"/>
  </pivotTables>
  <data>
    <tabular pivotCacheId="316916548">
      <items count="1">
        <i x="0"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cord_List" xr10:uid="{FD2F07D3-7646-4BE8-8111-FA0F4086CCB1}" sourceName="Record List">
  <pivotTables>
    <pivotTable tabId="68" name="pvt_Pivot"/>
  </pivotTables>
  <data>
    <tabular pivotCacheId="316916548">
      <items count="1">
        <i x="0"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rkHeader" xr10:uid="{62F52684-5BAE-4AD7-A050-680A84A1AC26}" sourceName="DarkHeader">
  <pivotTables>
    <pivotTable tabId="68" name="pvt_Pivot"/>
  </pivotTables>
  <data>
    <tabular pivotCacheId="316916548">
      <items count="1">
        <i x="0"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ormatRange" xr10:uid="{5EECBBB2-A6E0-4D0C-9181-B4AFA20E9ABC}" sourceName="FormatRange">
  <pivotTables>
    <pivotTable tabId="68" name="pvt_Pivot"/>
  </pivotTables>
  <data>
    <tabular pivotCacheId="316916548">
      <items count="1">
        <i x="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ableSlicer" xr10:uid="{30FF136B-EF7D-43D1-BDC8-F51BB96DF073}" cache="Slicer_WorksheetName" caption="TableSlicer" columnCount="4" showCaption="0" rowHeight="234950"/>
  <slicer name="HasBlank" xr10:uid="{4EECA749-C8F9-4BE3-BE62-E7E0FC28A83A}" cache="Slicer_HasBlank" caption="HasBlank" rowHeight="234950"/>
  <slicer name="Record List" xr10:uid="{9277E7E0-2CD9-4C4E-AA7F-B4ACEF6A184E}" cache="Slicer_Record_List" caption="Record List" rowHeight="234950"/>
  <slicer name="DarkHeader" xr10:uid="{25AE9649-06D9-4A88-8DA8-EFB2DD070049}" cache="Slicer_DarkHeader" caption="DarkHeader" rowHeight="234950"/>
  <slicer name="FormatRange" xr10:uid="{62804317-43B7-47CA-8FC5-F3F523DDC9A6}" cache="Slicer_FormatRange" caption="FormatRange"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E3120D2-5730-4571-B0C4-23FFC0E88D16}" name="tbl_Tables" displayName="tbl_Tables" ref="A1:B2" totalsRowShown="0" headerRowDxfId="102">
  <autoFilter ref="A1:B2" xr:uid="{BE3120D2-5730-4571-B0C4-23FFC0E88D16}"/>
  <tableColumns count="2">
    <tableColumn id="1" xr3:uid="{4788FAF9-6318-4CB1-BD9D-E6CCEDEA005D}" name="TableName"/>
    <tableColumn id="2" xr3:uid="{BDE1F2FD-FD75-4DEF-BE56-C8EAE28AF228}" name="WorksheetName"/>
  </tableColumns>
  <tableStyleInfo name="DarkTable"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34D1C74-BE18-490E-B396-097D407DA97D}" name="tbl_FieldOverview" displayName="tbl_FieldOverview" ref="C85:AD86" totalsRowShown="0" headerRowDxfId="75" dataDxfId="73" headerRowBorderDxfId="74">
  <sortState xmlns:xlrd2="http://schemas.microsoft.com/office/spreadsheetml/2017/richdata2" ref="D86:AD86">
    <sortCondition ref="D85:D86"/>
  </sortState>
  <tableColumns count="28">
    <tableColumn id="28" xr3:uid="{8B5E03A7-B6B1-46FD-9019-93EE821FB434}" name="_" dataDxfId="72" dataCellStyle="Hyperlink">
      <calculatedColumnFormula>HYPERLINK("#'"&amp;tbl_FieldOverview[[#This Row],[Dataframe]]&amp;"'!"&amp;SUBSTITUTE(tbl_FieldOverview[[#This Row],[Field]]," ","_"), "Link")</calculatedColumnFormula>
    </tableColumn>
    <tableColumn id="27" xr3:uid="{47EAA0BD-DD79-49CF-9273-A210924AEFC0}" name="Dataframe" dataDxfId="71"/>
    <tableColumn id="1" xr3:uid="{010A8E62-502A-4B19-B37A-BF59E03A068A}" name="Field" dataDxfId="70"/>
    <tableColumn id="2" xr3:uid="{AD236665-EC7C-404F-8915-AD7CD5510D0F}" name="Definition" dataDxfId="69">
      <calculatedColumnFormula array="1">_xlfn.XLOOKUP(tbl_FieldOverview[[#This Row],[Field]],INDIRECT("'"&amp;tbl_FieldOverview[[#This Row],[Dataframe]]&amp;"'!Headers"),INDIRECT("'"&amp;tbl_FieldOverview[[#This Row],[Dataframe]]&amp;"'!Definitions"),"")</calculatedColumnFormula>
    </tableColumn>
    <tableColumn id="3" xr3:uid="{B78AB378-5727-433E-AB9C-BB970FC42B31}" name="Field Notes" dataDxfId="68">
      <calculatedColumnFormula array="1">_xlfn.XLOOKUP(tbl_FieldOverview[[#This Row],[Field]],INDIRECT("'"&amp;tbl_FieldOverview[[#This Row],[Dataframe]]&amp;"'!Headers"),INDIRECT("'"&amp;tbl_FieldOverview[[#This Row],[Dataframe]]&amp;"'!Notes"),"")</calculatedColumnFormula>
    </tableColumn>
    <tableColumn id="4" xr3:uid="{EF15AE67-FE31-471E-840E-8104B878A3E8}" name="Data type" dataDxfId="67"/>
    <tableColumn id="5" xr3:uid="{5006D683-9D12-4B97-9EF2-6D41AF6E0B35}" name="Distinct %" dataDxfId="66"/>
    <tableColumn id="6" xr3:uid="{3AFB42F8-9976-44FF-9239-74914D5BE035}" name="Missing %" dataDxfId="65"/>
    <tableColumn id="7" xr3:uid="{4BA41102-DB06-4180-9754-C88722FE82BD}" name="Memory Usage %" dataDxfId="64"/>
    <tableColumn id="8" xr3:uid="{D22319BD-3A80-40F3-84FC-A6D1627B2F29}" name="Memory Usage" dataDxfId="63"/>
    <tableColumn id="9" xr3:uid="{77FAEE19-B6C7-4056-8EF3-5EB877C820C4}" name="Distinct" dataDxfId="62"/>
    <tableColumn id="10" xr3:uid="{54FF47BF-594E-417B-9028-64A4DFE4D389}" name="Count" dataDxfId="61"/>
    <tableColumn id="11" xr3:uid="{54E587FE-36DC-4522-91DC-8B81B386217B}" name="Count %" dataDxfId="60"/>
    <tableColumn id="12" xr3:uid="{0DE21D83-93B1-480C-BE9C-379DA0E532C7}" name="Missing" dataDxfId="59"/>
    <tableColumn id="13" xr3:uid="{C4B407B9-B7FB-4DFC-A6B3-885C816BAF99}" name="Mean" dataDxfId="58"/>
    <tableColumn id="14" xr3:uid="{9796FD8E-D568-43E1-AC6E-BFAE7C7B7017}" name="Median" dataDxfId="57"/>
    <tableColumn id="15" xr3:uid="{A6A7BCED-DD2F-4B41-A84C-2F2674A38A53}" name="Mode" dataDxfId="56"/>
    <tableColumn id="16" xr3:uid="{46607FA5-244C-49C2-997C-B64EB2E94FDE}" name="Standard Deviation" dataDxfId="55"/>
    <tableColumn id="17" xr3:uid="{80BA1782-4C46-45CE-B3FB-40B70BA09AF9}" name="Variance" dataDxfId="54"/>
    <tableColumn id="18" xr3:uid="{EC3C5A76-EF95-419C-87A8-D8885B542521}" name="Min" dataDxfId="53"/>
    <tableColumn id="19" xr3:uid="{BFE545F8-810C-4F0A-A0B2-FF0AB9764A07}" name="5%" dataDxfId="52"/>
    <tableColumn id="20" xr3:uid="{77D31A9B-57B1-4422-8EF9-6320F00E0DB9}" name="25%" dataDxfId="51"/>
    <tableColumn id="21" xr3:uid="{7A350787-F0EA-4E65-B596-5D7253E75CD6}" name="50%" dataDxfId="50"/>
    <tableColumn id="22" xr3:uid="{FB4C260E-A19F-4908-9DBF-DB4AC630982A}" name="75%" dataDxfId="49"/>
    <tableColumn id="23" xr3:uid="{FBECC9F1-5BC8-4774-9475-EB2D6D28F1E2}" name="95%" dataDxfId="48"/>
    <tableColumn id="24" xr3:uid="{839CD532-ED80-4544-A8C8-E9E036764A84}" name="Max" dataDxfId="47"/>
    <tableColumn id="25" xr3:uid="{9DDA1FD6-82B1-4FBE-8BBD-B40C331930D2}" name="Range" dataDxfId="46"/>
    <tableColumn id="26" xr3:uid="{902A027A-FD65-44D4-B3D0-5B3883ACFA39}" name="IQR" dataDxfId="45"/>
  </tableColumns>
  <tableStyleInfo name="DarkTabl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26EE770E-621B-4905-BB6C-4FFCC0868621}" name="tbl_DfOverview" displayName="tbl_DfOverview" ref="C78:J79" totalsRowShown="0" headerRowDxfId="44">
  <tableColumns count="8">
    <tableColumn id="4" xr3:uid="{E0BAF750-1B9B-46C9-A68D-A35C4870B266}" name="_" dataDxfId="43" dataCellStyle="Hyperlink">
      <calculatedColumnFormula>HYPERLINK("#'"&amp;tbl_DfOverview[[#This Row],[Dataframe]]&amp;"'!A1", "Link")</calculatedColumnFormula>
    </tableColumn>
    <tableColumn id="6" xr3:uid="{E41CFD37-A468-4C79-B7EA-0360B1C4BCC4}" name="Dataframe" dataDxfId="42" dataCellStyle="Hyperlink"/>
    <tableColumn id="8" xr3:uid="{01C58C05-F8CF-4B63-865A-ED62EC251B59}" name="Dataset description" dataDxfId="41" dataCellStyle="Hyperlink">
      <calculatedColumnFormula array="1">INDIRECT("'"&amp;tbl_DfOverview[[#This Row],[Dataframe]]&amp;"'!Description")</calculatedColumnFormula>
    </tableColumn>
    <tableColumn id="3" xr3:uid="{D6E3117D-28E6-489B-83F5-68B84D7EF343}" name="Memory Usage (bytes)" dataDxfId="40"/>
    <tableColumn id="1" xr3:uid="{D38AC8C3-17A3-4A73-AC79-C4E82940B798}" name="Rows" dataDxfId="39"/>
    <tableColumn id="2" xr3:uid="{4984DB9E-9D5A-4886-AAB5-58DC47E14DCC}" name="Columns" dataDxfId="38"/>
    <tableColumn id="10" xr3:uid="{40668933-7054-482A-855D-73B4454D34F2}" name="Fields Defined %" dataDxfId="37" dataCellStyle="Percent">
      <calculatedColumnFormula array="1">SUMPRODUCT((tbl_FieldOverview[Dataframe]=tbl_DfOverview[[#This Row],[Dataframe]]) * (tbl_FieldOverview[Definition]&lt;&gt;"Definition"))/tbl_DfOverview[[#This Row],[Columns]]</calculatedColumnFormula>
    </tableColumn>
    <tableColumn id="5" xr3:uid="{6FD0B6CD-D5BB-48A4-81E6-F92D5F83A050}" name="Missing Values %" dataDxfId="36"/>
  </tableColumns>
  <tableStyleInfo name="DarkTable"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2133564-163D-4CB0-A97C-9358270F5F9C}" name="tbl_debug_section4" displayName="tbl_debug_section4" ref="D10:F18" totalsRowShown="0" headerRowDxfId="35" dataDxfId="33" headerRowBorderDxfId="34" tableBorderDxfId="32" totalsRowBorderDxfId="31">
  <tableColumns count="3">
    <tableColumn id="1" xr3:uid="{5EB43B6F-4FF7-4D4C-8202-BD94842B8017}" name="Production Section" dataDxfId="30" dataCellStyle="DarkHeader"/>
    <tableColumn id="2" xr3:uid="{71F0A434-8F03-4CF9-987C-D6F88D936E0A}" name="Production Time in Seconds" dataDxfId="29"/>
    <tableColumn id="3" xr3:uid="{507EC883-FE9F-434C-8323-6EBB4691FEEE}" name="% of Production Time" dataDxfId="28" dataCellStyle="Percent"/>
  </tableColumns>
  <tableStyleInfo name="DarkTable"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ABCC19D-29F4-4A1C-9C2C-61132A93E32D}" name="tbl_debug_environment9" displayName="tbl_debug_environment9" ref="D23:E38" totalsRowShown="0" dataDxfId="26" headerRowBorderDxfId="27" tableBorderDxfId="25">
  <tableColumns count="2">
    <tableColumn id="1" xr3:uid="{6A891059-3C09-438F-9AB9-42F8BA5B3379}" name="Environment Variable" dataDxfId="24" dataCellStyle="DarkHeader"/>
    <tableColumn id="2" xr3:uid="{D9E0C91D-D549-4194-8575-1343B51883A7}" name="Value" dataDxfId="23"/>
  </tableColumns>
  <tableStyleInfo name="DarkTable"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8D10CD5-62A0-484D-A455-84E38CB47746}" name="tbl_debug_config10" displayName="tbl_debug_config10" ref="D43:E54" totalsRowShown="0" headerRowBorderDxfId="22" tableBorderDxfId="21" totalsRowBorderDxfId="20">
  <autoFilter ref="D43:E54" xr:uid="{88D10CD5-62A0-484D-A455-84E38CB47746}"/>
  <tableColumns count="2">
    <tableColumn id="1" xr3:uid="{BAFB02A5-6AA3-46EF-A3FA-1FC44F32BBF4}" name="Input Argument" dataDxfId="19" dataCellStyle="DarkHeader"/>
    <tableColumn id="2" xr3:uid="{402A365F-6164-4790-9B23-3CC27E2F5642}" name="Value" dataDxfId="18" dataCellStyle="DarkHeader"/>
  </tableColumns>
  <tableStyleInfo name="DarkTable"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61B5A24-D54F-42D3-BE0F-EC150E72D6E4}" name="tbl_debug_errors12" displayName="tbl_debug_errors12" ref="D59:E60" totalsRowShown="0" headerRowBorderDxfId="17" tableBorderDxfId="16" totalsRowBorderDxfId="15">
  <autoFilter ref="D59:E60" xr:uid="{F61B5A24-D54F-42D3-BE0F-EC150E72D6E4}"/>
  <tableColumns count="2">
    <tableColumn id="1" xr3:uid="{CA519729-E316-4F10-9FC9-4DAD4EBFD7D6}" name="Error Type" dataDxfId="14" dataCellStyle="DarkHeader"/>
    <tableColumn id="2" xr3:uid="{E2631007-AAAB-4565-904C-CFF05E0A66F2}" name="Detail" dataDxfId="13" dataCellStyle="DarkHeader"/>
  </tableColumns>
  <tableStyleInfo name="DarkTable"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B1D1E60-5E37-456A-AD85-0649D531840E}" name="tbl_SourceData" displayName="tbl_SourceData" ref="C81:F83" totalsRowShown="0" headerRowDxfId="5" dataDxfId="4" headerRowCellStyle="DarkHeader" dataCellStyle="Normal">
  <autoFilter ref="C81:F83" xr:uid="{DB1D1E60-5E37-456A-AD85-0649D531840E}"/>
  <tableColumns count="4">
    <tableColumn id="1" xr3:uid="{57EDF41E-F06D-4819-BADE-3D62DE46F06C}" name="Record List" dataDxfId="3" dataCellStyle="Normal"/>
    <tableColumn id="2" xr3:uid="{CF70C9CE-83FE-40FA-8089-C68B39CF665A}" name="DarkHeader" dataDxfId="2" dataCellStyle="Normal"/>
    <tableColumn id="3" xr3:uid="{B8654690-502A-4FAF-9205-0118DABCB954}" name="HasBlank" dataDxfId="1" dataCellStyle="Normal"/>
    <tableColumn id="4" xr3:uid="{5A5BA001-2F93-4E62-880C-C4E8BDB17EEB}" name="FormatRange" dataDxfId="0" dataCellStyle="Normal"/>
  </tableColumns>
  <tableStyleInfo name="DarkTable" showFirstColumn="0" showLastColumn="0" showRowStripes="1" showColumnStripes="0"/>
</table>
</file>

<file path=xl/theme/theme1.xml><?xml version="1.0" encoding="utf-8"?>
<a:theme xmlns:a="http://schemas.openxmlformats.org/drawingml/2006/main" name="Office Theme">
  <a:themeElements>
    <a:clrScheme name="Custom 1">
      <a:dk1>
        <a:srgbClr val="3A3A3A"/>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764"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8D17EC2E-99C3-4FD8-98FA-DB511231C813}">
  <we:reference id="wa104380862" version="3.0.0.0" store="en-US" storeType="OMEX"/>
  <we:alternateReferences>
    <we:reference id="wa104380862" version="3.0.0.0" store="WA104380862"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table" Target="../tables/table2.xml"/><Relationship Id="rId7" Type="http://schemas.openxmlformats.org/officeDocument/2006/relationships/table" Target="../tables/table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500A6F-A506-4DF0-B514-2E5BDC409A3B}">
  <sheetPr codeName="Sheet10"/>
  <dimension ref="A1:G2"/>
  <sheetViews>
    <sheetView workbookViewId="0">
      <selection activeCell="A28" sqref="A28"/>
    </sheetView>
  </sheetViews>
  <sheetFormatPr defaultRowHeight="14.4"/>
  <cols>
    <col min="1" max="1" width="27.21875" bestFit="1" customWidth="1"/>
    <col min="2" max="2" width="25" customWidth="1"/>
    <col min="6" max="6" width="17.44140625" bestFit="1" customWidth="1"/>
    <col min="7" max="7" width="27.21875" bestFit="1" customWidth="1"/>
  </cols>
  <sheetData>
    <row r="1" spans="1:7">
      <c r="A1" s="90" t="s">
        <v>105</v>
      </c>
      <c r="B1" s="90" t="s">
        <v>104</v>
      </c>
      <c r="F1" s="100" t="s">
        <v>104</v>
      </c>
      <c r="G1" s="100" t="s">
        <v>105</v>
      </c>
    </row>
    <row r="2" spans="1:7">
      <c r="A2" t="s">
        <v>103</v>
      </c>
      <c r="B2" t="s">
        <v>117</v>
      </c>
      <c r="F2" t="s">
        <v>117</v>
      </c>
      <c r="G2" t="s">
        <v>103</v>
      </c>
    </row>
  </sheetData>
  <pageMargins left="0.7" right="0.7" top="0.75" bottom="0.75" header="0.3" footer="0.3"/>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D1AF8-C53E-48B7-8625-1AC9E9368DD1}">
  <sheetPr codeName="Sheet5">
    <tabColor theme="4"/>
  </sheetPr>
  <dimension ref="B1:P19"/>
  <sheetViews>
    <sheetView zoomScale="85" zoomScaleNormal="85" workbookViewId="0">
      <selection activeCell="D27" sqref="D27"/>
    </sheetView>
  </sheetViews>
  <sheetFormatPr defaultColWidth="8.77734375" defaultRowHeight="14.4"/>
  <cols>
    <col min="1" max="1" width="1.77734375" customWidth="1"/>
    <col min="2" max="2" width="4.44140625" style="6" customWidth="1"/>
    <col min="3" max="3" width="7.109375" style="7" customWidth="1"/>
    <col min="4" max="4" width="31.77734375" customWidth="1"/>
  </cols>
  <sheetData>
    <row r="1" spans="2:16" ht="10.050000000000001" customHeight="1"/>
    <row r="2" spans="2:16">
      <c r="B2" s="126" t="s">
        <v>111</v>
      </c>
    </row>
    <row r="3" spans="2:16" ht="10.050000000000001" customHeight="1">
      <c r="B3" s="126"/>
    </row>
    <row r="4" spans="2:16" ht="30" customHeight="1">
      <c r="B4" s="1" t="e" vm="1">
        <v>#VALUE!</v>
      </c>
      <c r="C4" s="68" t="s">
        <v>48</v>
      </c>
    </row>
    <row r="5" spans="2:16" ht="4.95" customHeight="1">
      <c r="B5" s="1"/>
      <c r="C5" s="8"/>
      <c r="P5" s="5"/>
    </row>
    <row r="6" spans="2:16" ht="19.95" customHeight="1">
      <c r="B6"/>
      <c r="C6" s="8"/>
      <c r="P6" s="25"/>
    </row>
    <row r="7" spans="2:16" ht="4.95" customHeight="1">
      <c r="B7"/>
      <c r="C7" s="8"/>
    </row>
    <row r="8" spans="2:16" ht="30" customHeight="1">
      <c r="B8" s="27"/>
      <c r="C8" s="28"/>
      <c r="D8" s="28"/>
      <c r="E8" s="28"/>
      <c r="F8" s="28"/>
      <c r="G8" s="28"/>
      <c r="H8" s="28"/>
      <c r="I8" s="28"/>
      <c r="J8" s="28"/>
      <c r="K8" s="28"/>
      <c r="L8" s="28"/>
      <c r="M8" s="28"/>
      <c r="N8" s="28"/>
      <c r="O8" s="28"/>
      <c r="P8" s="28"/>
    </row>
    <row r="9" spans="2:16" ht="15" customHeight="1">
      <c r="B9"/>
      <c r="C9"/>
    </row>
    <row r="10" spans="2:16" ht="15" customHeight="1">
      <c r="C10" s="26"/>
    </row>
    <row r="11" spans="2:16" ht="19.2" customHeight="1">
      <c r="B11"/>
      <c r="C11" s="8"/>
    </row>
    <row r="18" spans="3:3">
      <c r="C18"/>
    </row>
    <row r="19" spans="3:3">
      <c r="C19"/>
    </row>
  </sheetData>
  <hyperlinks>
    <hyperlink ref="B2" location="Overview!A1" display=" Overview ↩" xr:uid="{87C61C56-2199-4F1A-BBE7-2282BEE0C9C8}"/>
  </hyperlink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46CE1-A395-46C3-980B-AE9C7C562610}">
  <sheetPr codeName="Sheet6">
    <tabColor theme="1"/>
  </sheetPr>
  <dimension ref="A1:H40"/>
  <sheetViews>
    <sheetView zoomScale="85" zoomScaleNormal="85" workbookViewId="0">
      <selection activeCell="C39" sqref="C39"/>
    </sheetView>
  </sheetViews>
  <sheetFormatPr defaultRowHeight="14.4" outlineLevelRow="1"/>
  <cols>
    <col min="1" max="1" width="1.77734375" customWidth="1"/>
    <col min="2" max="2" width="4.44140625" customWidth="1"/>
    <col min="3" max="15" width="15.77734375" customWidth="1"/>
  </cols>
  <sheetData>
    <row r="1" spans="1:8" ht="4.95" customHeight="1"/>
    <row r="2" spans="1:8" ht="15" customHeight="1">
      <c r="A2" s="119"/>
      <c r="B2" s="140" t="s">
        <v>111</v>
      </c>
      <c r="G2" s="122"/>
      <c r="H2" s="121"/>
    </row>
    <row r="3" spans="1:8" ht="10.050000000000001" customHeight="1">
      <c r="A3" s="111"/>
    </row>
    <row r="4" spans="1:8" ht="30" customHeight="1">
      <c r="B4" s="120" t="e" vm="1">
        <v>#VALUE!</v>
      </c>
      <c r="C4" s="68" t="s">
        <v>117</v>
      </c>
      <c r="D4" s="120"/>
    </row>
    <row r="5" spans="1:8" ht="10.050000000000001" customHeight="1"/>
    <row r="6" spans="1:8">
      <c r="A6" s="91"/>
      <c r="B6" s="142" t="s">
        <v>67</v>
      </c>
      <c r="C6" s="143" t="s">
        <v>120</v>
      </c>
    </row>
    <row r="7" spans="1:8" ht="15" customHeight="1">
      <c r="B7" s="129"/>
      <c r="C7" s="132"/>
    </row>
    <row r="8" spans="1:8" hidden="1" outlineLevel="1">
      <c r="B8" s="110"/>
      <c r="C8" s="133" t="s">
        <v>121</v>
      </c>
    </row>
    <row r="9" spans="1:8" hidden="1" outlineLevel="1">
      <c r="B9" s="110"/>
      <c r="C9" s="2"/>
    </row>
    <row r="10" spans="1:8" hidden="1" outlineLevel="1">
      <c r="B10" s="110"/>
      <c r="C10" s="2"/>
    </row>
    <row r="11" spans="1:8" hidden="1" outlineLevel="1">
      <c r="B11" s="110"/>
      <c r="C11" s="2"/>
    </row>
    <row r="12" spans="1:8" hidden="1" outlineLevel="1"/>
    <row r="13" spans="1:8" collapsed="1">
      <c r="B13" s="34" t="s">
        <v>67</v>
      </c>
      <c r="C13" s="2" t="s">
        <v>119</v>
      </c>
    </row>
    <row r="15" spans="1:8" hidden="1" outlineLevel="1"/>
    <row r="16" spans="1:8" hidden="1" outlineLevel="1"/>
    <row r="17" spans="2:3" hidden="1" outlineLevel="1"/>
    <row r="18" spans="2:3" hidden="1" outlineLevel="1"/>
    <row r="19" spans="2:3" hidden="1" outlineLevel="1"/>
    <row r="20" spans="2:3" hidden="1" outlineLevel="1"/>
    <row r="21" spans="2:3" hidden="1" outlineLevel="1"/>
    <row r="22" spans="2:3" hidden="1" outlineLevel="1"/>
    <row r="23" spans="2:3" hidden="1" outlineLevel="1"/>
    <row r="24" spans="2:3" hidden="1" outlineLevel="1"/>
    <row r="25" spans="2:3" collapsed="1">
      <c r="B25" s="34" t="s">
        <v>67</v>
      </c>
      <c r="C25" s="108" t="s">
        <v>106</v>
      </c>
    </row>
    <row r="26" spans="2:3" outlineLevel="1"/>
    <row r="27" spans="2:3" hidden="1" outlineLevel="1"/>
    <row r="28" spans="2:3" hidden="1" outlineLevel="1"/>
    <row r="29" spans="2:3" hidden="1" outlineLevel="1"/>
    <row r="30" spans="2:3" hidden="1" outlineLevel="1"/>
    <row r="31" spans="2:3" hidden="1" outlineLevel="1"/>
    <row r="32" spans="2:3" hidden="1" outlineLevel="1"/>
    <row r="33" spans="3:7" hidden="1" outlineLevel="1"/>
    <row r="34" spans="3:7" hidden="1" outlineLevel="1"/>
    <row r="35" spans="3:7" hidden="1" outlineLevel="1"/>
    <row r="36" spans="3:7" hidden="1" outlineLevel="1"/>
    <row r="37" spans="3:7" hidden="1" outlineLevel="1"/>
    <row r="38" spans="3:7" hidden="1" outlineLevel="1"/>
    <row r="39" spans="3:7" ht="30" customHeight="1">
      <c r="C39" s="112" t="s">
        <v>113</v>
      </c>
      <c r="D39" s="107" t="s">
        <v>114</v>
      </c>
      <c r="E39" s="101" t="s">
        <v>107</v>
      </c>
      <c r="F39" s="104" t="s">
        <v>108</v>
      </c>
      <c r="G39" s="101" t="s">
        <v>109</v>
      </c>
    </row>
    <row r="40" spans="3:7">
      <c r="C40" s="106" t="s">
        <v>118</v>
      </c>
      <c r="D40" s="4"/>
      <c r="E40" s="105"/>
      <c r="F40" s="102"/>
      <c r="G40" s="103"/>
    </row>
  </sheetData>
  <conditionalFormatting pivot="1" sqref="E40">
    <cfRule type="colorScale" priority="2">
      <colorScale>
        <cfvo type="num" val="0"/>
        <cfvo type="num" val="0.2"/>
        <color rgb="FF262626"/>
        <color rgb="FF7A0000"/>
      </colorScale>
    </cfRule>
  </conditionalFormatting>
  <conditionalFormatting pivot="1" sqref="F40">
    <cfRule type="colorScale" priority="1">
      <colorScale>
        <cfvo type="num" val="0"/>
        <cfvo type="num" val="0.2"/>
        <color rgb="FF262626"/>
        <color rgb="FF7A0000"/>
      </colorScale>
    </cfRule>
  </conditionalFormatting>
  <hyperlinks>
    <hyperlink ref="B2" location="Overview!A1" display=" Overview ↩" xr:uid="{9FD4A306-BA6D-41AC-8892-81385C6265B7}"/>
  </hyperlink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11A04D-ED8D-4020-BF94-4BC59283B45E}">
  <sheetPr codeName="Sheet1">
    <tabColor rgb="FF7030A0"/>
    <pageSetUpPr autoPageBreaks="0"/>
  </sheetPr>
  <dimension ref="A1:AE87"/>
  <sheetViews>
    <sheetView tabSelected="1" topLeftCell="A2" zoomScale="85" zoomScaleNormal="85" workbookViewId="0">
      <selection activeCell="D86" sqref="D86"/>
    </sheetView>
  </sheetViews>
  <sheetFormatPr defaultColWidth="8.77734375" defaultRowHeight="15" customHeight="1"/>
  <cols>
    <col min="1" max="1" width="1.77734375" customWidth="1"/>
    <col min="2" max="2" width="4.44140625" customWidth="1"/>
    <col min="3" max="3" width="7.109375" customWidth="1"/>
    <col min="4" max="4" width="33" customWidth="1"/>
    <col min="5" max="6" width="27.21875" customWidth="1"/>
    <col min="7" max="11" width="19.5546875" customWidth="1"/>
    <col min="12" max="29" width="17.109375" customWidth="1"/>
  </cols>
  <sheetData>
    <row r="1" spans="1:28" ht="15" hidden="1" customHeight="1">
      <c r="B1" s="13"/>
      <c r="C1" s="14" t="s">
        <v>0</v>
      </c>
      <c r="D1" s="14"/>
      <c r="E1" s="14"/>
      <c r="F1" s="14"/>
      <c r="G1" s="14"/>
      <c r="H1" s="14"/>
      <c r="I1" s="14"/>
      <c r="J1" s="14"/>
      <c r="K1" s="14"/>
      <c r="L1" s="14"/>
      <c r="M1" s="14"/>
      <c r="N1" s="14"/>
      <c r="O1" s="14"/>
      <c r="P1" s="14"/>
      <c r="Q1" s="14"/>
      <c r="R1" s="14"/>
      <c r="S1" s="14"/>
      <c r="T1" s="14"/>
      <c r="U1" s="14"/>
      <c r="V1" s="14"/>
      <c r="W1" s="14"/>
      <c r="X1" s="14"/>
      <c r="Y1" s="14"/>
      <c r="Z1" s="14"/>
      <c r="AA1" s="14"/>
      <c r="AB1" s="14"/>
    </row>
    <row r="2" spans="1:28" ht="15" customHeight="1">
      <c r="A2" s="116"/>
    </row>
    <row r="3" spans="1:28" ht="30" customHeight="1">
      <c r="B3" s="120" t="e" vm="1">
        <v>#VALUE!</v>
      </c>
      <c r="C3" s="68" t="s">
        <v>97</v>
      </c>
      <c r="D3" s="120"/>
      <c r="AB3" s="4"/>
    </row>
    <row r="4" spans="1:28" ht="10.050000000000001" customHeight="1">
      <c r="C4" s="68"/>
      <c r="AB4" s="4"/>
    </row>
    <row r="5" spans="1:28" ht="15" customHeight="1">
      <c r="B5" s="138" t="s">
        <v>67</v>
      </c>
      <c r="C5" s="141" t="s">
        <v>115</v>
      </c>
      <c r="D5" s="65"/>
      <c r="E5" s="46"/>
      <c r="F5" s="66"/>
      <c r="G5" s="46"/>
      <c r="H5" s="145"/>
      <c r="I5" s="145"/>
      <c r="J5" s="46"/>
      <c r="K5" s="46"/>
    </row>
    <row r="6" spans="1:28" ht="15" hidden="1" customHeight="1">
      <c r="C6" s="46"/>
      <c r="D6" s="46"/>
      <c r="E6" s="46"/>
      <c r="F6" s="46"/>
      <c r="G6" s="46"/>
      <c r="H6" s="145"/>
      <c r="I6" s="145"/>
      <c r="J6" s="46"/>
      <c r="K6" s="46"/>
    </row>
    <row r="7" spans="1:28" ht="15" customHeight="1">
      <c r="C7" s="46"/>
      <c r="D7" s="46"/>
      <c r="E7" s="46"/>
      <c r="F7" s="46"/>
      <c r="G7" s="46"/>
      <c r="H7" s="139"/>
      <c r="I7" s="139"/>
      <c r="J7" s="46"/>
      <c r="K7" s="46"/>
    </row>
    <row r="8" spans="1:28" ht="30" hidden="1" customHeight="1">
      <c r="B8" s="1"/>
      <c r="C8" s="47"/>
      <c r="D8" s="144" t="s">
        <v>123</v>
      </c>
      <c r="E8" s="144"/>
      <c r="F8" s="46"/>
      <c r="G8" s="46"/>
      <c r="J8" s="46"/>
      <c r="K8" s="46"/>
    </row>
    <row r="9" spans="1:28" ht="4.95" hidden="1" customHeight="1">
      <c r="C9" s="46"/>
      <c r="D9" s="46"/>
      <c r="E9" s="46"/>
    </row>
    <row r="10" spans="1:28" ht="30" hidden="1" customHeight="1">
      <c r="B10" s="44"/>
      <c r="D10" s="52" t="s">
        <v>57</v>
      </c>
      <c r="E10" s="53" t="s">
        <v>58</v>
      </c>
      <c r="F10" s="54" t="s">
        <v>59</v>
      </c>
    </row>
    <row r="11" spans="1:28" ht="15" hidden="1" customHeight="1">
      <c r="D11" s="55" t="s">
        <v>60</v>
      </c>
      <c r="E11" s="63"/>
      <c r="F11" s="61"/>
    </row>
    <row r="12" spans="1:28" ht="15" hidden="1" customHeight="1">
      <c r="D12" s="55" t="s">
        <v>93</v>
      </c>
      <c r="E12" s="63"/>
      <c r="F12" s="61"/>
    </row>
    <row r="13" spans="1:28" ht="15" hidden="1" customHeight="1">
      <c r="D13" s="55" t="s">
        <v>94</v>
      </c>
      <c r="E13" s="63"/>
      <c r="F13" s="61"/>
    </row>
    <row r="14" spans="1:28" ht="15" hidden="1" customHeight="1">
      <c r="D14" s="55" t="s">
        <v>95</v>
      </c>
      <c r="E14" s="63"/>
      <c r="F14" s="61"/>
    </row>
    <row r="15" spans="1:28" ht="15" hidden="1" customHeight="1">
      <c r="D15" s="55" t="s">
        <v>61</v>
      </c>
      <c r="E15" s="63"/>
      <c r="F15" s="61"/>
    </row>
    <row r="16" spans="1:28" ht="15" hidden="1" customHeight="1">
      <c r="D16" s="55" t="s">
        <v>62</v>
      </c>
      <c r="E16" s="63"/>
      <c r="F16" s="61"/>
    </row>
    <row r="17" spans="2:12" ht="15" hidden="1" customHeight="1">
      <c r="D17" s="56" t="s">
        <v>96</v>
      </c>
      <c r="E17" s="64"/>
      <c r="F17" s="62"/>
    </row>
    <row r="18" spans="2:12" ht="15" hidden="1" customHeight="1">
      <c r="D18" s="89" t="s">
        <v>63</v>
      </c>
      <c r="E18" s="64"/>
      <c r="F18" s="62"/>
    </row>
    <row r="19" spans="2:12" ht="15" hidden="1" customHeight="1">
      <c r="C19" s="46"/>
      <c r="D19" s="46"/>
      <c r="E19" s="46"/>
    </row>
    <row r="20" spans="2:12" ht="10.050000000000001" hidden="1" customHeight="1">
      <c r="C20" s="46"/>
      <c r="F20" s="46"/>
      <c r="H20" s="135"/>
      <c r="I20" s="136"/>
      <c r="L20" s="41"/>
    </row>
    <row r="21" spans="2:12" ht="30" hidden="1" customHeight="1">
      <c r="D21" s="137" t="s">
        <v>53</v>
      </c>
      <c r="E21" s="134"/>
      <c r="L21" s="41"/>
    </row>
    <row r="22" spans="2:12" ht="4.95" hidden="1" customHeight="1">
      <c r="D22" s="46"/>
      <c r="E22" s="46"/>
    </row>
    <row r="23" spans="2:12" ht="30" hidden="1" customHeight="1">
      <c r="D23" s="52" t="s">
        <v>55</v>
      </c>
      <c r="E23" s="54" t="s">
        <v>56</v>
      </c>
    </row>
    <row r="24" spans="2:12" ht="15" hidden="1" customHeight="1">
      <c r="D24" s="48" t="s">
        <v>68</v>
      </c>
      <c r="E24" s="71"/>
    </row>
    <row r="25" spans="2:12" ht="15" hidden="1" customHeight="1">
      <c r="D25" s="48" t="s">
        <v>69</v>
      </c>
      <c r="E25" s="71"/>
    </row>
    <row r="26" spans="2:12" ht="15" hidden="1" customHeight="1">
      <c r="D26" s="48" t="s">
        <v>70</v>
      </c>
      <c r="E26" s="71"/>
    </row>
    <row r="27" spans="2:12" ht="15" hidden="1" customHeight="1">
      <c r="D27" s="48" t="s">
        <v>71</v>
      </c>
      <c r="E27" s="71"/>
    </row>
    <row r="28" spans="2:12" ht="15" hidden="1" customHeight="1">
      <c r="D28" s="48" t="s">
        <v>72</v>
      </c>
      <c r="E28" s="71"/>
    </row>
    <row r="29" spans="2:12" ht="15" hidden="1" customHeight="1">
      <c r="D29" s="48" t="s">
        <v>73</v>
      </c>
      <c r="E29" s="71"/>
    </row>
    <row r="30" spans="2:12" ht="15" hidden="1" customHeight="1">
      <c r="D30" s="48" t="s">
        <v>74</v>
      </c>
      <c r="E30" s="72"/>
    </row>
    <row r="31" spans="2:12" ht="15" hidden="1" customHeight="1">
      <c r="D31" s="48" t="s">
        <v>75</v>
      </c>
      <c r="E31" s="71"/>
    </row>
    <row r="32" spans="2:12" ht="15" hidden="1" customHeight="1">
      <c r="B32" s="42"/>
      <c r="D32" s="48" t="s">
        <v>76</v>
      </c>
      <c r="E32" s="71"/>
    </row>
    <row r="33" spans="2:25" ht="15" hidden="1" customHeight="1">
      <c r="D33" s="48" t="s">
        <v>77</v>
      </c>
      <c r="E33" s="71"/>
    </row>
    <row r="34" spans="2:25" ht="15" hidden="1" customHeight="1">
      <c r="D34" s="48" t="s">
        <v>78</v>
      </c>
      <c r="E34" s="71"/>
    </row>
    <row r="35" spans="2:25" ht="15" hidden="1" customHeight="1">
      <c r="D35" s="48" t="s">
        <v>79</v>
      </c>
      <c r="E35" s="71"/>
      <c r="I35" s="135"/>
      <c r="J35" s="136"/>
      <c r="K35" s="46"/>
    </row>
    <row r="36" spans="2:25" ht="15" hidden="1" customHeight="1">
      <c r="D36" s="48" t="s">
        <v>80</v>
      </c>
      <c r="E36" s="71"/>
      <c r="K36" s="46"/>
    </row>
    <row r="37" spans="2:25" ht="15" hidden="1" customHeight="1">
      <c r="B37" s="43"/>
      <c r="C37" s="49"/>
      <c r="D37" s="48" t="s">
        <v>81</v>
      </c>
      <c r="E37" s="71"/>
      <c r="K37" s="46"/>
    </row>
    <row r="38" spans="2:25" ht="15" hidden="1" customHeight="1">
      <c r="B38" s="43"/>
      <c r="C38" s="49"/>
      <c r="D38" s="60" t="s">
        <v>82</v>
      </c>
      <c r="E38" s="71"/>
      <c r="K38" s="46"/>
    </row>
    <row r="39" spans="2:25" ht="15" hidden="1" customHeight="1">
      <c r="B39" s="43"/>
      <c r="C39" s="49"/>
      <c r="D39" s="135"/>
      <c r="E39" s="71"/>
      <c r="K39" s="46"/>
    </row>
    <row r="40" spans="2:25" ht="15" hidden="1" customHeight="1">
      <c r="D40" s="51"/>
      <c r="E40" s="50"/>
      <c r="F40" s="46"/>
      <c r="G40" s="46"/>
      <c r="H40" s="46"/>
      <c r="I40" s="46"/>
      <c r="J40" s="46"/>
      <c r="K40" s="46"/>
      <c r="W40" s="45"/>
      <c r="Y40" s="41"/>
    </row>
    <row r="41" spans="2:25" ht="30" hidden="1" customHeight="1">
      <c r="D41" s="144" t="s">
        <v>54</v>
      </c>
      <c r="E41" s="144"/>
      <c r="F41" s="46"/>
      <c r="G41" s="46"/>
      <c r="H41" s="46"/>
      <c r="I41" s="46"/>
      <c r="J41" s="46"/>
      <c r="K41" s="46"/>
      <c r="W41" s="45"/>
      <c r="Y41" s="41"/>
    </row>
    <row r="42" spans="2:25" ht="4.95" hidden="1" customHeight="1">
      <c r="D42" s="46"/>
      <c r="E42" s="46"/>
      <c r="F42" s="46"/>
      <c r="G42" s="46"/>
      <c r="H42" s="46"/>
      <c r="I42" s="46"/>
      <c r="J42" s="46"/>
      <c r="K42" s="46"/>
      <c r="W42" s="45"/>
      <c r="Y42" s="41"/>
    </row>
    <row r="43" spans="2:25" ht="30" hidden="1" customHeight="1">
      <c r="D43" s="67" t="s">
        <v>64</v>
      </c>
      <c r="E43" s="54" t="s">
        <v>56</v>
      </c>
      <c r="F43" s="46"/>
      <c r="G43" s="46"/>
      <c r="H43" s="46"/>
      <c r="I43" s="46"/>
      <c r="J43" s="46"/>
      <c r="K43" s="46"/>
      <c r="W43" s="45"/>
      <c r="Y43" s="41"/>
    </row>
    <row r="44" spans="2:25" ht="15" hidden="1" customHeight="1">
      <c r="D44" s="57" t="s">
        <v>83</v>
      </c>
      <c r="E44" s="69"/>
      <c r="F44" s="46"/>
      <c r="G44" s="46"/>
      <c r="H44" s="46"/>
      <c r="I44" s="46"/>
      <c r="J44" s="46"/>
      <c r="K44" s="46"/>
      <c r="W44" s="45"/>
      <c r="Y44" s="41"/>
    </row>
    <row r="45" spans="2:25" ht="15" hidden="1" customHeight="1">
      <c r="D45" s="48" t="s">
        <v>84</v>
      </c>
      <c r="E45" s="70"/>
      <c r="F45" s="46"/>
      <c r="G45" s="46"/>
      <c r="H45" s="46"/>
      <c r="I45" s="46"/>
      <c r="J45" s="46"/>
      <c r="K45" s="46"/>
      <c r="W45" s="45"/>
      <c r="Y45" s="41"/>
    </row>
    <row r="46" spans="2:25" ht="15" hidden="1" customHeight="1">
      <c r="D46" s="86" t="s">
        <v>85</v>
      </c>
      <c r="E46" s="70"/>
      <c r="F46" s="46"/>
      <c r="G46" s="46"/>
      <c r="H46" s="46"/>
      <c r="I46" s="46"/>
      <c r="J46" s="46"/>
      <c r="K46" s="46"/>
      <c r="W46" s="45"/>
      <c r="Y46" s="41"/>
    </row>
    <row r="47" spans="2:25" ht="15" hidden="1" customHeight="1">
      <c r="D47" s="86" t="s">
        <v>86</v>
      </c>
      <c r="E47" s="70"/>
      <c r="F47" s="46"/>
      <c r="G47" s="46"/>
      <c r="H47" s="46"/>
      <c r="I47" s="46"/>
      <c r="J47" s="46"/>
      <c r="K47" s="46"/>
      <c r="W47" s="45"/>
      <c r="Y47" s="41"/>
    </row>
    <row r="48" spans="2:25" ht="15" hidden="1" customHeight="1">
      <c r="D48" s="86" t="s">
        <v>87</v>
      </c>
      <c r="E48" s="70"/>
      <c r="F48" s="46"/>
      <c r="G48" s="46"/>
      <c r="H48" s="46"/>
      <c r="I48" s="46"/>
      <c r="J48" s="46"/>
      <c r="K48" s="46"/>
      <c r="W48" s="45"/>
      <c r="Y48" s="41"/>
    </row>
    <row r="49" spans="4:25" ht="15" hidden="1" customHeight="1">
      <c r="D49" s="86" t="s">
        <v>88</v>
      </c>
      <c r="E49" s="70"/>
      <c r="F49" s="46"/>
      <c r="G49" s="46"/>
      <c r="H49" s="46"/>
      <c r="I49" s="46"/>
      <c r="J49" s="46"/>
      <c r="K49" s="46"/>
      <c r="W49" s="45"/>
      <c r="Y49" s="41"/>
    </row>
    <row r="50" spans="4:25" ht="15" hidden="1" customHeight="1">
      <c r="D50" s="86" t="s">
        <v>89</v>
      </c>
      <c r="E50" s="70"/>
      <c r="F50" s="46"/>
      <c r="G50" s="46"/>
      <c r="H50" s="46"/>
      <c r="I50" s="46"/>
      <c r="J50" s="46"/>
      <c r="K50" s="46"/>
      <c r="W50" s="45"/>
      <c r="Y50" s="41"/>
    </row>
    <row r="51" spans="4:25" ht="15" hidden="1" customHeight="1">
      <c r="D51" s="86" t="s">
        <v>90</v>
      </c>
      <c r="E51" s="70"/>
      <c r="F51" s="46"/>
      <c r="G51" s="46"/>
      <c r="H51" s="46"/>
      <c r="I51" s="46"/>
      <c r="J51" s="46"/>
      <c r="K51" s="46"/>
      <c r="W51" s="45"/>
      <c r="Y51" s="41"/>
    </row>
    <row r="52" spans="4:25" ht="15" hidden="1" customHeight="1">
      <c r="D52" s="86" t="s">
        <v>91</v>
      </c>
      <c r="E52" s="70"/>
      <c r="F52" s="46"/>
      <c r="G52" s="46"/>
      <c r="H52" s="46"/>
      <c r="I52" s="46"/>
      <c r="J52" s="46"/>
      <c r="K52" s="46"/>
      <c r="W52" s="45"/>
      <c r="Y52" s="41"/>
    </row>
    <row r="53" spans="4:25" ht="15" hidden="1" customHeight="1">
      <c r="D53" s="86" t="s">
        <v>92</v>
      </c>
      <c r="E53" s="70"/>
      <c r="F53" s="46"/>
      <c r="G53" s="46"/>
      <c r="H53" s="46"/>
      <c r="I53" s="46"/>
      <c r="J53" s="46"/>
      <c r="K53" s="46"/>
      <c r="W53" s="45"/>
      <c r="Y53" s="41"/>
    </row>
    <row r="54" spans="4:25" ht="15" hidden="1" customHeight="1">
      <c r="D54" s="87" t="s">
        <v>71</v>
      </c>
      <c r="E54" s="88"/>
      <c r="F54" s="46"/>
      <c r="G54" s="46"/>
      <c r="H54" s="46"/>
      <c r="I54" s="46"/>
      <c r="J54" s="46"/>
      <c r="K54" s="46"/>
      <c r="W54" s="45"/>
      <c r="Y54" s="41"/>
    </row>
    <row r="55" spans="4:25" ht="15" hidden="1" customHeight="1">
      <c r="D55" s="51"/>
      <c r="E55" s="50"/>
      <c r="F55" s="46"/>
      <c r="G55" s="46"/>
      <c r="H55" s="46"/>
      <c r="I55" s="46"/>
      <c r="J55" s="46"/>
      <c r="K55" s="46"/>
      <c r="W55" s="45"/>
      <c r="Y55" s="41"/>
    </row>
    <row r="56" spans="4:25" ht="15" hidden="1" customHeight="1">
      <c r="D56" s="51"/>
      <c r="E56" s="50"/>
      <c r="F56" s="46"/>
      <c r="G56" s="46"/>
      <c r="H56" s="46"/>
      <c r="I56" s="46"/>
      <c r="J56" s="46"/>
      <c r="K56" s="46"/>
      <c r="W56" s="45"/>
      <c r="Y56" s="41"/>
    </row>
    <row r="57" spans="4:25" ht="30" hidden="1" customHeight="1">
      <c r="D57" s="144" t="s">
        <v>122</v>
      </c>
      <c r="E57" s="144"/>
      <c r="F57" s="46"/>
      <c r="G57" s="46"/>
      <c r="H57" s="46"/>
      <c r="I57" s="46"/>
      <c r="J57" s="46"/>
      <c r="K57" s="46"/>
      <c r="W57" s="45"/>
      <c r="Y57" s="41"/>
    </row>
    <row r="58" spans="4:25" ht="4.95" hidden="1" customHeight="1">
      <c r="D58" s="46"/>
      <c r="E58" s="46"/>
      <c r="F58" s="46"/>
      <c r="G58" s="46"/>
      <c r="H58" s="46"/>
      <c r="I58" s="46"/>
      <c r="J58" s="46"/>
      <c r="K58" s="46"/>
      <c r="W58" s="45"/>
      <c r="Y58" s="41"/>
    </row>
    <row r="59" spans="4:25" ht="30" hidden="1" customHeight="1">
      <c r="D59" s="52" t="s">
        <v>65</v>
      </c>
      <c r="E59" s="54" t="s">
        <v>66</v>
      </c>
      <c r="F59" s="46"/>
      <c r="G59" s="46"/>
      <c r="H59" s="46"/>
      <c r="I59" s="46"/>
      <c r="J59" s="46"/>
      <c r="K59" s="46"/>
      <c r="W59" s="45"/>
      <c r="Y59" s="41"/>
    </row>
    <row r="60" spans="4:25" ht="15" hidden="1" customHeight="1">
      <c r="D60" s="58"/>
      <c r="E60" s="59"/>
      <c r="F60" s="46"/>
      <c r="G60" s="46"/>
      <c r="H60" s="46"/>
      <c r="I60" s="46"/>
      <c r="J60" s="46"/>
      <c r="K60" s="46"/>
      <c r="W60" s="45"/>
      <c r="Y60" s="41"/>
    </row>
    <row r="61" spans="4:25" ht="15" hidden="1" customHeight="1">
      <c r="D61" s="51"/>
      <c r="E61" s="50"/>
      <c r="F61" s="46"/>
      <c r="G61" s="46"/>
      <c r="H61" s="46"/>
      <c r="I61" s="46"/>
      <c r="J61" s="46"/>
      <c r="K61" s="46"/>
      <c r="W61" s="45"/>
      <c r="Y61" s="41"/>
    </row>
    <row r="62" spans="4:25" ht="15" hidden="1" customHeight="1">
      <c r="D62" s="51"/>
      <c r="E62" s="50"/>
      <c r="F62" s="46"/>
      <c r="G62" s="46"/>
      <c r="H62" s="46"/>
      <c r="I62" s="46"/>
      <c r="J62" s="46"/>
      <c r="K62" s="46"/>
      <c r="W62" s="45"/>
      <c r="Y62" s="41"/>
    </row>
    <row r="63" spans="4:25" ht="15" hidden="1" customHeight="1">
      <c r="D63" s="51"/>
      <c r="E63" s="50"/>
      <c r="F63" s="46"/>
      <c r="G63" s="46"/>
      <c r="H63" s="46"/>
      <c r="I63" s="46"/>
      <c r="J63" s="46"/>
      <c r="K63" s="46"/>
      <c r="W63" s="45"/>
      <c r="Y63" s="41"/>
    </row>
    <row r="64" spans="4:25" ht="15" hidden="1" customHeight="1">
      <c r="D64" s="51"/>
      <c r="E64" s="50"/>
      <c r="F64" s="46"/>
      <c r="G64" s="46"/>
      <c r="H64" s="46"/>
      <c r="I64" s="46"/>
      <c r="J64" s="46"/>
      <c r="K64" s="46"/>
      <c r="W64" s="45"/>
      <c r="Y64" s="41"/>
    </row>
    <row r="65" spans="1:31" ht="15" hidden="1" customHeight="1">
      <c r="D65" s="51"/>
      <c r="E65" s="50"/>
      <c r="F65" s="46"/>
      <c r="G65" s="46"/>
      <c r="H65" s="46"/>
      <c r="I65" s="46"/>
      <c r="J65" s="46"/>
      <c r="K65" s="46"/>
      <c r="W65" s="45"/>
      <c r="Y65" s="41"/>
    </row>
    <row r="66" spans="1:31" ht="15" hidden="1" customHeight="1">
      <c r="D66" s="51"/>
      <c r="E66" s="50"/>
      <c r="F66" s="46"/>
      <c r="G66" s="46"/>
      <c r="H66" s="46"/>
      <c r="I66" s="46"/>
      <c r="J66" s="46"/>
      <c r="K66" s="46"/>
      <c r="W66" s="45"/>
      <c r="Y66" s="41"/>
    </row>
    <row r="67" spans="1:31" ht="15" hidden="1" customHeight="1">
      <c r="D67" s="51"/>
      <c r="E67" s="50"/>
      <c r="F67" s="46"/>
      <c r="G67" s="46"/>
      <c r="H67" s="46"/>
      <c r="I67" s="46"/>
      <c r="J67" s="46"/>
      <c r="K67" s="46"/>
      <c r="W67" s="45"/>
      <c r="Y67" s="41"/>
    </row>
    <row r="68" spans="1:31" ht="15" hidden="1" customHeight="1">
      <c r="D68" s="51"/>
      <c r="E68" s="50"/>
      <c r="F68" s="46"/>
      <c r="G68" s="46"/>
      <c r="H68" s="46"/>
      <c r="I68" s="46"/>
      <c r="J68" s="46"/>
      <c r="K68" s="46"/>
      <c r="W68" s="45"/>
      <c r="Y68" s="41"/>
    </row>
    <row r="69" spans="1:31" ht="15" hidden="1" customHeight="1">
      <c r="D69" s="51"/>
      <c r="E69" s="50"/>
      <c r="F69" s="46"/>
      <c r="G69" s="46"/>
      <c r="H69" s="46"/>
      <c r="I69" s="46"/>
      <c r="J69" s="46"/>
      <c r="K69" s="46"/>
      <c r="W69" s="45"/>
      <c r="Y69" s="41"/>
    </row>
    <row r="70" spans="1:31" ht="15" hidden="1" customHeight="1">
      <c r="D70" s="51"/>
      <c r="E70" s="50"/>
      <c r="F70" s="46"/>
      <c r="G70" s="46"/>
      <c r="H70" s="46"/>
      <c r="I70" s="46"/>
      <c r="J70" s="46"/>
      <c r="K70" s="46"/>
      <c r="W70" s="45"/>
      <c r="Y70" s="41"/>
    </row>
    <row r="71" spans="1:31" ht="15" hidden="1" customHeight="1">
      <c r="D71" s="51"/>
      <c r="E71" s="50"/>
      <c r="F71" s="46"/>
      <c r="G71" s="46"/>
      <c r="H71" s="46"/>
      <c r="I71" s="46"/>
      <c r="J71" s="46"/>
      <c r="K71" s="46"/>
      <c r="W71" s="45"/>
      <c r="Y71" s="41"/>
    </row>
    <row r="72" spans="1:31" ht="15" hidden="1" customHeight="1">
      <c r="D72" s="51"/>
      <c r="E72" s="50"/>
      <c r="F72" s="46"/>
      <c r="G72" s="46"/>
      <c r="H72" s="46"/>
      <c r="I72" s="46"/>
      <c r="J72" s="46"/>
      <c r="K72" s="46"/>
      <c r="W72" s="45"/>
      <c r="Y72" s="41"/>
    </row>
    <row r="73" spans="1:31" ht="15" hidden="1" customHeight="1">
      <c r="D73" s="51"/>
      <c r="E73" s="50"/>
      <c r="F73" s="46"/>
      <c r="G73" s="46"/>
      <c r="H73" s="46"/>
      <c r="I73" s="46"/>
      <c r="J73" s="46"/>
      <c r="K73" s="46"/>
      <c r="W73" s="45"/>
      <c r="Y73" s="41"/>
    </row>
    <row r="74" spans="1:31" ht="15" hidden="1" customHeight="1">
      <c r="D74" s="51"/>
      <c r="E74" s="50"/>
      <c r="F74" s="46"/>
      <c r="G74" s="46"/>
      <c r="H74" s="46"/>
      <c r="I74" s="46"/>
      <c r="J74" s="46"/>
      <c r="K74" s="46"/>
      <c r="W74" s="45"/>
      <c r="Y74" s="41"/>
    </row>
    <row r="75" spans="1:31" ht="15" customHeight="1">
      <c r="A75" s="6"/>
      <c r="B75" s="110" t="s">
        <v>67</v>
      </c>
      <c r="C75" s="98" t="s">
        <v>99</v>
      </c>
      <c r="AB75" s="4"/>
    </row>
    <row r="76" spans="1:31" ht="10.050000000000001" customHeight="1">
      <c r="C76" s="68"/>
      <c r="AB76" s="4"/>
    </row>
    <row r="77" spans="1:31" ht="10.050000000000001" customHeight="1">
      <c r="C77" s="68"/>
      <c r="AB77" s="4"/>
    </row>
    <row r="78" spans="1:31" ht="30" customHeight="1">
      <c r="C78" s="114" t="s">
        <v>110</v>
      </c>
      <c r="D78" s="99" t="s">
        <v>98</v>
      </c>
      <c r="E78" s="96" t="s">
        <v>112</v>
      </c>
      <c r="F78" s="31" t="s">
        <v>101</v>
      </c>
      <c r="G78" s="93" t="s">
        <v>6</v>
      </c>
      <c r="H78" s="94" t="s">
        <v>49</v>
      </c>
      <c r="I78" s="94" t="s">
        <v>102</v>
      </c>
      <c r="J78" s="31" t="s">
        <v>51</v>
      </c>
      <c r="AE78" s="4"/>
    </row>
    <row r="79" spans="1:31" ht="15" customHeight="1">
      <c r="C79" s="113"/>
      <c r="D79" s="109"/>
      <c r="E79" s="125"/>
      <c r="F79" s="131"/>
      <c r="G79" s="97"/>
      <c r="H79" s="24"/>
      <c r="I79" s="33"/>
      <c r="J79" s="95"/>
      <c r="AE79" s="4"/>
    </row>
    <row r="80" spans="1:31" ht="15" customHeight="1">
      <c r="AB80" s="4"/>
    </row>
    <row r="81" spans="2:30" ht="10.199999999999999" customHeight="1">
      <c r="AB81" s="4"/>
    </row>
    <row r="82" spans="2:30" ht="15" customHeight="1">
      <c r="B82" s="110" t="s">
        <v>67</v>
      </c>
      <c r="C82" s="98" t="s">
        <v>100</v>
      </c>
      <c r="AB82" s="4"/>
    </row>
    <row r="83" spans="2:30" ht="10.050000000000001" customHeight="1"/>
    <row r="84" spans="2:30" ht="10.050000000000001" customHeight="1"/>
    <row r="85" spans="2:30" ht="30" customHeight="1">
      <c r="C85" s="114" t="s">
        <v>110</v>
      </c>
      <c r="D85" s="30" t="s">
        <v>98</v>
      </c>
      <c r="E85" s="30" t="s">
        <v>39</v>
      </c>
      <c r="F85" s="30" t="s">
        <v>40</v>
      </c>
      <c r="G85" s="30" t="s">
        <v>1</v>
      </c>
      <c r="H85" s="31" t="s">
        <v>8</v>
      </c>
      <c r="I85" s="31" t="s">
        <v>9</v>
      </c>
      <c r="J85" s="31" t="s">
        <v>10</v>
      </c>
      <c r="K85" s="31" t="s">
        <v>11</v>
      </c>
      <c r="L85" s="31" t="s">
        <v>12</v>
      </c>
      <c r="M85" s="31" t="s">
        <v>13</v>
      </c>
      <c r="N85" s="31" t="s">
        <v>14</v>
      </c>
      <c r="O85" s="31" t="s">
        <v>41</v>
      </c>
      <c r="P85" s="31" t="s">
        <v>15</v>
      </c>
      <c r="Q85" s="31" t="s">
        <v>17</v>
      </c>
      <c r="R85" s="31" t="s">
        <v>18</v>
      </c>
      <c r="S85" s="31" t="s">
        <v>19</v>
      </c>
      <c r="T85" s="31" t="s">
        <v>20</v>
      </c>
      <c r="U85" s="31" t="s">
        <v>21</v>
      </c>
      <c r="V85" s="31" t="s">
        <v>23</v>
      </c>
      <c r="W85" s="81" t="s">
        <v>42</v>
      </c>
      <c r="X85" s="81" t="s">
        <v>43</v>
      </c>
      <c r="Y85" s="81" t="s">
        <v>44</v>
      </c>
      <c r="Z85" s="81" t="s">
        <v>45</v>
      </c>
      <c r="AA85" s="81" t="s">
        <v>46</v>
      </c>
      <c r="AB85" s="31" t="s">
        <v>24</v>
      </c>
      <c r="AC85" s="31" t="s">
        <v>25</v>
      </c>
      <c r="AD85" s="31" t="s">
        <v>26</v>
      </c>
    </row>
    <row r="86" spans="2:30" ht="15" customHeight="1">
      <c r="C86" s="113"/>
      <c r="D86" s="92"/>
      <c r="E86" s="75"/>
      <c r="F86" s="130"/>
      <c r="G86" s="130"/>
      <c r="H86" s="76"/>
      <c r="I86" s="77"/>
      <c r="J86" s="77"/>
      <c r="K86" s="77"/>
      <c r="L86" s="78"/>
      <c r="M86" s="78"/>
      <c r="N86" s="78"/>
      <c r="O86" s="79"/>
      <c r="P86" s="78"/>
      <c r="Q86" s="80"/>
      <c r="R86" s="80"/>
      <c r="S86" s="80"/>
      <c r="T86" s="80"/>
      <c r="U86" s="80"/>
      <c r="V86" s="80"/>
      <c r="W86" s="80"/>
      <c r="X86" s="80"/>
      <c r="Y86" s="80"/>
      <c r="Z86" s="80"/>
      <c r="AA86" s="80"/>
      <c r="AB86" s="80"/>
      <c r="AC86" s="80"/>
      <c r="AD86" s="80"/>
    </row>
    <row r="87" spans="2:30" ht="15" hidden="1" customHeight="1"/>
  </sheetData>
  <mergeCells count="5">
    <mergeCell ref="D41:E41"/>
    <mergeCell ref="H5:I5"/>
    <mergeCell ref="H6:I6"/>
    <mergeCell ref="D57:E57"/>
    <mergeCell ref="D8:E8"/>
  </mergeCells>
  <conditionalFormatting sqref="I86:L86">
    <cfRule type="colorScale" priority="7">
      <colorScale>
        <cfvo type="num" val="0"/>
        <cfvo type="num" val="0.2"/>
        <color rgb="FF000000"/>
        <color rgb="FF7A0000"/>
      </colorScale>
    </cfRule>
  </conditionalFormatting>
  <conditionalFormatting sqref="J79">
    <cfRule type="colorScale" priority="6">
      <colorScale>
        <cfvo type="num" val="0"/>
        <cfvo type="num" val="0.2"/>
        <color rgb="FF262626"/>
        <color rgb="FF7A0000"/>
      </colorScale>
    </cfRule>
  </conditionalFormatting>
  <conditionalFormatting sqref="I79">
    <cfRule type="colorScale" priority="5">
      <colorScale>
        <cfvo type="num" val="0"/>
        <cfvo type="num" val="1"/>
        <color rgb="FF262626"/>
        <color theme="9"/>
      </colorScale>
    </cfRule>
  </conditionalFormatting>
  <conditionalFormatting sqref="F86">
    <cfRule type="cellIs" dxfId="78" priority="4" operator="equal">
      <formula>"Definition"</formula>
    </cfRule>
  </conditionalFormatting>
  <conditionalFormatting sqref="G86">
    <cfRule type="cellIs" dxfId="77" priority="3" operator="equal">
      <formula>"Note"</formula>
    </cfRule>
  </conditionalFormatting>
  <conditionalFormatting sqref="E79">
    <cfRule type="cellIs" dxfId="76" priority="2" operator="equal">
      <formula>"Dataset Description"</formula>
    </cfRule>
  </conditionalFormatting>
  <conditionalFormatting sqref="F11:F18">
    <cfRule type="colorScale" priority="1">
      <colorScale>
        <cfvo type="num" val="0"/>
        <cfvo type="num" val="0.2"/>
        <color rgb="FF000000"/>
        <color rgb="FFC00000"/>
      </colorScale>
    </cfRule>
  </conditionalFormatting>
  <hyperlinks>
    <hyperlink ref="D80" location="'Candle'!A1" display="Candle" xr:uid="{67FE46B0-FD26-4458-AC5F-5E1A92B38D58}"/>
    <hyperlink ref="D81" location="'Christmas Cost'!A1" display="Christmas Cost" xr:uid="{7FC51187-043D-4FD5-95B3-218DED5696E2}"/>
    <hyperlink ref="D82" location="'Companies'!A1" display="Companies" xr:uid="{7FD2304A-8F95-40C9-9995-35A796D60495}"/>
    <hyperlink ref="D83" location="'Country Stats'!A1" display="Country Stats" xr:uid="{37F97D7D-6476-49BF-9118-0DA3787A2751}"/>
  </hyperlinks>
  <pageMargins left="0.7" right="0.7" top="0.75" bottom="0.75" header="0.3" footer="0.3"/>
  <pageSetup orientation="portrait" r:id="rId1"/>
  <drawing r:id="rId2"/>
  <tableParts count="6">
    <tablePart r:id="rId3"/>
    <tablePart r:id="rId4"/>
    <tablePart r:id="rId5"/>
    <tablePart r:id="rId6"/>
    <tablePart r:id="rId7"/>
    <tablePart r:id="rId8"/>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AC07A1-2E8C-46FB-9CC1-AAEC654D73D4}">
  <sheetPr codeName="Sheet2">
    <tabColor rgb="FF262626"/>
  </sheetPr>
  <dimension ref="A1:H83"/>
  <sheetViews>
    <sheetView topLeftCell="A2" zoomScale="85" zoomScaleNormal="85" workbookViewId="0">
      <pane xSplit="3" ySplit="20" topLeftCell="D22" activePane="bottomRight" state="frozen"/>
      <selection activeCell="A2" sqref="A2"/>
      <selection pane="topRight" activeCell="D2" sqref="D2"/>
      <selection pane="bottomLeft" activeCell="A22" sqref="A22"/>
      <selection pane="bottomRight" activeCell="D21" sqref="D21"/>
    </sheetView>
  </sheetViews>
  <sheetFormatPr defaultColWidth="15.6640625" defaultRowHeight="15" customHeight="1" outlineLevelRow="2"/>
  <cols>
    <col min="1" max="1" width="1.77734375" customWidth="1"/>
    <col min="2" max="2" width="4.44140625" customWidth="1"/>
    <col min="3" max="3" width="26.44140625" bestFit="1" customWidth="1"/>
    <col min="4" max="4" width="25.6640625" customWidth="1"/>
    <col min="5" max="6" width="27.6640625" customWidth="1"/>
  </cols>
  <sheetData>
    <row r="1" spans="1:8" ht="19.95" hidden="1" customHeight="1">
      <c r="B1" s="13"/>
      <c r="C1" s="14"/>
      <c r="D1" s="14" t="s">
        <v>0</v>
      </c>
      <c r="E1" s="14"/>
      <c r="F1" s="14"/>
      <c r="G1" s="14"/>
      <c r="H1" s="14"/>
    </row>
    <row r="2" spans="1:8" s="123" customFormat="1" ht="4.95" customHeight="1">
      <c r="C2" s="124"/>
      <c r="D2" s="124"/>
      <c r="E2" s="124"/>
      <c r="F2" s="124"/>
      <c r="G2" s="124"/>
      <c r="H2" s="124"/>
    </row>
    <row r="3" spans="1:8" ht="15" customHeight="1">
      <c r="B3" s="140" t="s">
        <v>111</v>
      </c>
    </row>
    <row r="4" spans="1:8" ht="4.95" customHeight="1">
      <c r="B4" s="111"/>
    </row>
    <row r="5" spans="1:8" ht="30" customHeight="1">
      <c r="B5" s="1" t="e" vm="1">
        <v>#VALUE!</v>
      </c>
      <c r="C5" s="127" t="s">
        <v>116</v>
      </c>
      <c r="D5" s="22"/>
    </row>
    <row r="6" spans="1:8" ht="10.199999999999999" customHeight="1"/>
    <row r="7" spans="1:8" ht="14.4">
      <c r="A7" s="91"/>
      <c r="B7" s="34" t="s">
        <v>67</v>
      </c>
      <c r="C7" s="2" t="s">
        <v>5</v>
      </c>
    </row>
    <row r="8" spans="1:8" ht="10.199999999999999" customHeight="1">
      <c r="A8" s="91"/>
    </row>
    <row r="9" spans="1:8" ht="40.049999999999997" hidden="1" customHeight="1" outlineLevel="1">
      <c r="A9" s="91"/>
      <c r="D9" s="117" t="s">
        <v>52</v>
      </c>
      <c r="E9" s="118"/>
    </row>
    <row r="10" spans="1:8" ht="14.4" hidden="1" outlineLevel="1">
      <c r="A10" s="91"/>
    </row>
    <row r="11" spans="1:8" ht="15" hidden="1" customHeight="1" outlineLevel="1">
      <c r="A11" s="91"/>
      <c r="C11" s="21" t="s">
        <v>6</v>
      </c>
      <c r="D11" s="35"/>
    </row>
    <row r="12" spans="1:8" ht="15" hidden="1" customHeight="1" outlineLevel="1">
      <c r="A12" s="91"/>
      <c r="C12" s="3" t="s">
        <v>49</v>
      </c>
      <c r="D12" s="24"/>
    </row>
    <row r="13" spans="1:8" ht="15" hidden="1" customHeight="1" outlineLevel="1">
      <c r="A13" s="91"/>
      <c r="C13" s="3" t="s">
        <v>12</v>
      </c>
      <c r="D13" s="24"/>
    </row>
    <row r="14" spans="1:8" ht="15" hidden="1" customHeight="1" outlineLevel="1">
      <c r="A14" s="91"/>
      <c r="C14" s="3" t="s">
        <v>50</v>
      </c>
      <c r="D14" s="32"/>
    </row>
    <row r="15" spans="1:8" ht="15" hidden="1" customHeight="1" outlineLevel="1">
      <c r="A15" s="91"/>
      <c r="C15" s="3" t="s">
        <v>51</v>
      </c>
      <c r="D15" s="33"/>
    </row>
    <row r="16" spans="1:8" ht="10.199999999999999" hidden="1" customHeight="1" outlineLevel="1">
      <c r="A16" s="91"/>
    </row>
    <row r="17" spans="1:6" ht="34.950000000000003" hidden="1" customHeight="1" outlineLevel="1">
      <c r="A17" s="91"/>
      <c r="C17" s="21" t="s">
        <v>2</v>
      </c>
      <c r="D17" s="36" t="s">
        <v>40</v>
      </c>
      <c r="E17" s="37" t="s">
        <v>40</v>
      </c>
      <c r="F17" s="37" t="s">
        <v>40</v>
      </c>
    </row>
    <row r="18" spans="1:6" ht="10.199999999999999" hidden="1" customHeight="1" outlineLevel="1">
      <c r="A18" s="91"/>
    </row>
    <row r="19" spans="1:6" ht="34.950000000000003" hidden="1" customHeight="1" outlineLevel="1">
      <c r="C19" s="21" t="s">
        <v>3</v>
      </c>
      <c r="D19" s="38" t="s">
        <v>47</v>
      </c>
      <c r="E19" s="39" t="s">
        <v>47</v>
      </c>
      <c r="F19" s="40" t="s">
        <v>47</v>
      </c>
    </row>
    <row r="20" spans="1:6" ht="10.199999999999999" hidden="1" customHeight="1" outlineLevel="1"/>
    <row r="21" spans="1:6" s="23" customFormat="1" ht="30" customHeight="1" collapsed="1">
      <c r="B21" s="73"/>
      <c r="C21" s="73" t="s">
        <v>4</v>
      </c>
      <c r="D21" s="74"/>
      <c r="E21" s="74"/>
      <c r="F21" s="74"/>
    </row>
    <row r="22" spans="1:6" ht="10.199999999999999" customHeight="1"/>
    <row r="23" spans="1:6" ht="14.4" outlineLevel="1">
      <c r="A23" s="91"/>
      <c r="B23" s="34" t="s">
        <v>67</v>
      </c>
      <c r="C23" s="2" t="s">
        <v>7</v>
      </c>
    </row>
    <row r="24" spans="1:6" ht="10.199999999999999" customHeight="1" outlineLevel="1">
      <c r="A24" s="91"/>
    </row>
    <row r="25" spans="1:6" ht="15" hidden="1" customHeight="1" outlineLevel="2">
      <c r="A25" s="91"/>
      <c r="C25" s="19" t="s">
        <v>8</v>
      </c>
      <c r="D25" s="9"/>
      <c r="E25" s="9"/>
      <c r="F25" s="9"/>
    </row>
    <row r="26" spans="1:6" ht="15" hidden="1" customHeight="1" outlineLevel="2">
      <c r="A26" s="91"/>
      <c r="C26" s="3" t="s">
        <v>9</v>
      </c>
      <c r="D26" s="10"/>
      <c r="E26" s="10"/>
      <c r="F26" s="10"/>
    </row>
    <row r="27" spans="1:6" ht="15" hidden="1" customHeight="1" outlineLevel="2">
      <c r="A27" s="91"/>
      <c r="C27" s="18" t="s">
        <v>10</v>
      </c>
      <c r="D27" s="10"/>
      <c r="E27" s="10"/>
      <c r="F27" s="10"/>
    </row>
    <row r="28" spans="1:6" ht="15" hidden="1" customHeight="1" outlineLevel="2">
      <c r="A28" s="91"/>
      <c r="C28" s="18" t="s">
        <v>11</v>
      </c>
      <c r="D28" s="10"/>
      <c r="E28" s="10"/>
      <c r="F28" s="10"/>
    </row>
    <row r="29" spans="1:6" ht="15" hidden="1" customHeight="1" outlineLevel="2">
      <c r="A29" s="91"/>
      <c r="C29" s="18" t="s">
        <v>12</v>
      </c>
      <c r="D29" s="11"/>
      <c r="E29" s="11"/>
      <c r="F29" s="11"/>
    </row>
    <row r="30" spans="1:6" ht="15" hidden="1" customHeight="1" outlineLevel="2">
      <c r="A30" s="91"/>
      <c r="C30" s="18" t="s">
        <v>13</v>
      </c>
      <c r="D30" s="11"/>
      <c r="E30" s="11"/>
      <c r="F30" s="11"/>
    </row>
    <row r="31" spans="1:6" ht="15" hidden="1" customHeight="1" outlineLevel="2">
      <c r="A31" s="91"/>
      <c r="C31" s="19" t="s">
        <v>14</v>
      </c>
      <c r="D31" s="11"/>
      <c r="E31" s="11"/>
      <c r="F31" s="11"/>
    </row>
    <row r="32" spans="1:6" ht="15" hidden="1" customHeight="1" outlineLevel="2">
      <c r="A32" s="91"/>
      <c r="C32" s="3" t="s">
        <v>15</v>
      </c>
      <c r="D32" s="11"/>
      <c r="E32" s="11"/>
      <c r="F32" s="11"/>
    </row>
    <row r="33" spans="1:6" ht="10.199999999999999" hidden="1" customHeight="1" outlineLevel="2">
      <c r="A33" s="91"/>
    </row>
    <row r="34" spans="1:6" ht="150" hidden="1" customHeight="1" outlineLevel="2"/>
    <row r="35" spans="1:6" ht="10.199999999999999" hidden="1" customHeight="1" outlineLevel="2"/>
    <row r="36" spans="1:6" ht="14.4" outlineLevel="1" collapsed="1">
      <c r="A36" s="91"/>
      <c r="B36" s="34" t="s">
        <v>67</v>
      </c>
      <c r="C36" s="2" t="s">
        <v>16</v>
      </c>
    </row>
    <row r="37" spans="1:6" ht="10.199999999999999" customHeight="1" outlineLevel="1">
      <c r="A37" s="91"/>
    </row>
    <row r="38" spans="1:6" ht="15" hidden="1" customHeight="1" outlineLevel="2">
      <c r="A38" s="91"/>
      <c r="C38" s="3" t="s">
        <v>17</v>
      </c>
      <c r="D38" s="12"/>
      <c r="E38" s="12"/>
      <c r="F38" s="12"/>
    </row>
    <row r="39" spans="1:6" ht="15" hidden="1" customHeight="1" outlineLevel="2">
      <c r="A39" s="91"/>
      <c r="C39" s="18" t="s">
        <v>18</v>
      </c>
      <c r="D39" s="12"/>
      <c r="E39" s="12"/>
      <c r="F39" s="12"/>
    </row>
    <row r="40" spans="1:6" ht="15" hidden="1" customHeight="1" outlineLevel="2">
      <c r="A40" s="91"/>
      <c r="C40" s="18" t="s">
        <v>19</v>
      </c>
      <c r="D40" s="12"/>
      <c r="E40" s="12"/>
      <c r="F40" s="12"/>
    </row>
    <row r="41" spans="1:6" ht="15" hidden="1" customHeight="1" outlineLevel="2">
      <c r="A41" s="91"/>
      <c r="C41" s="3" t="s">
        <v>20</v>
      </c>
      <c r="D41" s="12"/>
      <c r="E41" s="12"/>
      <c r="F41" s="12"/>
    </row>
    <row r="42" spans="1:6" ht="15" hidden="1" customHeight="1" outlineLevel="2">
      <c r="A42" s="91"/>
      <c r="C42" s="20" t="s">
        <v>21</v>
      </c>
      <c r="D42" s="12"/>
      <c r="E42" s="12"/>
      <c r="F42" s="12"/>
    </row>
    <row r="43" spans="1:6" ht="10.199999999999999" hidden="1" customHeight="1" outlineLevel="2">
      <c r="A43" s="91"/>
    </row>
    <row r="44" spans="1:6" ht="150" hidden="1" customHeight="1" outlineLevel="2"/>
    <row r="45" spans="1:6" ht="10.199999999999999" hidden="1" customHeight="1" outlineLevel="2"/>
    <row r="46" spans="1:6" ht="14.4" outlineLevel="1" collapsed="1">
      <c r="A46" s="91"/>
      <c r="B46" s="34" t="s">
        <v>67</v>
      </c>
      <c r="C46" s="2" t="s">
        <v>22</v>
      </c>
    </row>
    <row r="47" spans="1:6" ht="10.050000000000001" customHeight="1" outlineLevel="1">
      <c r="A47" s="91"/>
    </row>
    <row r="48" spans="1:6" ht="15" hidden="1" customHeight="1" outlineLevel="2">
      <c r="A48" s="91"/>
      <c r="C48" s="3" t="s">
        <v>23</v>
      </c>
      <c r="D48" s="12"/>
      <c r="E48" s="12"/>
      <c r="F48" s="12"/>
    </row>
    <row r="49" spans="1:6" ht="15" hidden="1" customHeight="1" outlineLevel="2">
      <c r="A49" s="91"/>
      <c r="C49" s="18">
        <v>0.05</v>
      </c>
      <c r="D49" s="12"/>
      <c r="E49" s="12"/>
      <c r="F49" s="12"/>
    </row>
    <row r="50" spans="1:6" ht="15" hidden="1" customHeight="1" outlineLevel="2">
      <c r="A50" s="91"/>
      <c r="C50" s="19">
        <v>0.25</v>
      </c>
      <c r="D50" s="12"/>
      <c r="E50" s="12"/>
      <c r="F50" s="12"/>
    </row>
    <row r="51" spans="1:6" ht="15" hidden="1" customHeight="1" outlineLevel="2">
      <c r="A51" s="91"/>
      <c r="C51" s="3">
        <v>0.5</v>
      </c>
      <c r="D51" s="12"/>
      <c r="E51" s="12"/>
      <c r="F51" s="12"/>
    </row>
    <row r="52" spans="1:6" ht="15" hidden="1" customHeight="1" outlineLevel="2">
      <c r="A52" s="91"/>
      <c r="C52" s="18">
        <v>0.75</v>
      </c>
      <c r="D52" s="12"/>
      <c r="E52" s="12"/>
      <c r="F52" s="12"/>
    </row>
    <row r="53" spans="1:6" ht="15" hidden="1" customHeight="1" outlineLevel="2">
      <c r="A53" s="91"/>
      <c r="C53" s="18">
        <v>0.95</v>
      </c>
      <c r="D53" s="12"/>
      <c r="E53" s="12"/>
      <c r="F53" s="12"/>
    </row>
    <row r="54" spans="1:6" ht="15" hidden="1" customHeight="1" outlineLevel="2">
      <c r="A54" s="91"/>
      <c r="C54" s="3" t="s">
        <v>24</v>
      </c>
      <c r="D54" s="12"/>
      <c r="E54" s="12"/>
      <c r="F54" s="12"/>
    </row>
    <row r="55" spans="1:6" ht="15" hidden="1" customHeight="1" outlineLevel="2">
      <c r="A55" s="91"/>
      <c r="C55" s="18" t="s">
        <v>25</v>
      </c>
      <c r="D55" s="12"/>
      <c r="E55" s="12"/>
      <c r="F55" s="12"/>
    </row>
    <row r="56" spans="1:6" ht="15" hidden="1" customHeight="1" outlineLevel="2">
      <c r="C56" s="3" t="s">
        <v>26</v>
      </c>
      <c r="D56" s="12"/>
      <c r="E56" s="12"/>
      <c r="F56" s="12"/>
    </row>
    <row r="57" spans="1:6" ht="10.199999999999999" hidden="1" customHeight="1" outlineLevel="2"/>
    <row r="58" spans="1:6" ht="14.4" outlineLevel="1" collapsed="1">
      <c r="A58" s="91"/>
      <c r="B58" s="34" t="s">
        <v>67</v>
      </c>
      <c r="C58" s="2" t="s">
        <v>27</v>
      </c>
    </row>
    <row r="59" spans="1:6" ht="10.050000000000001" customHeight="1" outlineLevel="1">
      <c r="A59" s="91"/>
    </row>
    <row r="60" spans="1:6" ht="15" hidden="1" customHeight="1" outlineLevel="2">
      <c r="A60" s="91"/>
      <c r="C60" s="3" t="s">
        <v>28</v>
      </c>
      <c r="D60" s="29" t="b">
        <v>0</v>
      </c>
      <c r="E60" s="29" t="b">
        <v>0</v>
      </c>
      <c r="F60" s="29" t="b">
        <v>0</v>
      </c>
    </row>
    <row r="61" spans="1:6" ht="15" hidden="1" customHeight="1" outlineLevel="2">
      <c r="A61" s="91"/>
      <c r="C61" s="18" t="s">
        <v>29</v>
      </c>
      <c r="D61" s="29" t="b">
        <v>0</v>
      </c>
      <c r="E61" s="29" t="b">
        <v>0</v>
      </c>
      <c r="F61" s="29" t="b">
        <v>0</v>
      </c>
    </row>
    <row r="62" spans="1:6" ht="15" hidden="1" customHeight="1" outlineLevel="2">
      <c r="A62" s="91"/>
      <c r="C62" s="18" t="s">
        <v>30</v>
      </c>
      <c r="D62" s="29" t="b">
        <v>0</v>
      </c>
      <c r="E62" s="29" t="b">
        <v>0</v>
      </c>
      <c r="F62" s="29" t="b">
        <v>0</v>
      </c>
    </row>
    <row r="63" spans="1:6" ht="15" hidden="1" customHeight="1" outlineLevel="2">
      <c r="A63" s="91"/>
      <c r="C63" s="18" t="s">
        <v>31</v>
      </c>
      <c r="D63" s="29" t="b">
        <v>0</v>
      </c>
      <c r="E63" s="29" t="b">
        <v>0</v>
      </c>
      <c r="F63" s="29" t="b">
        <v>0</v>
      </c>
    </row>
    <row r="64" spans="1:6" ht="15" hidden="1" customHeight="1" outlineLevel="2">
      <c r="A64" s="91"/>
      <c r="C64" s="3" t="s">
        <v>32</v>
      </c>
      <c r="D64" s="29" t="b">
        <v>0</v>
      </c>
      <c r="E64" s="29" t="b">
        <v>0</v>
      </c>
      <c r="F64" s="29" t="b">
        <v>0</v>
      </c>
    </row>
    <row r="65" spans="1:6" ht="15" hidden="1" customHeight="1" outlineLevel="2">
      <c r="A65" s="91"/>
      <c r="C65" s="18" t="s">
        <v>33</v>
      </c>
      <c r="D65" s="29" t="b">
        <v>0</v>
      </c>
      <c r="E65" s="29" t="b">
        <v>0</v>
      </c>
      <c r="F65" s="29" t="b">
        <v>0</v>
      </c>
    </row>
    <row r="66" spans="1:6" ht="15" hidden="1" customHeight="1" outlineLevel="2">
      <c r="A66" s="91"/>
      <c r="C66" s="18" t="s">
        <v>34</v>
      </c>
      <c r="D66" s="29" t="b">
        <v>0</v>
      </c>
      <c r="E66" s="29" t="b">
        <v>0</v>
      </c>
      <c r="F66" s="29" t="b">
        <v>0</v>
      </c>
    </row>
    <row r="67" spans="1:6" ht="15" hidden="1" customHeight="1" outlineLevel="2">
      <c r="C67" s="3" t="s">
        <v>35</v>
      </c>
      <c r="D67" s="29" t="b">
        <v>0</v>
      </c>
      <c r="E67" s="29" t="b">
        <v>0</v>
      </c>
      <c r="F67" s="29" t="b">
        <v>0</v>
      </c>
    </row>
    <row r="68" spans="1:6" ht="10.199999999999999" hidden="1" customHeight="1" outlineLevel="2"/>
    <row r="69" spans="1:6" ht="14.4" outlineLevel="1" collapsed="1">
      <c r="A69" s="91"/>
      <c r="B69" s="34" t="s">
        <v>67</v>
      </c>
      <c r="C69" s="2" t="s">
        <v>36</v>
      </c>
    </row>
    <row r="70" spans="1:6" ht="10.050000000000001" customHeight="1" outlineLevel="1">
      <c r="A70" s="91"/>
    </row>
    <row r="71" spans="1:6" ht="15" hidden="1" customHeight="1" outlineLevel="2">
      <c r="A71" s="91"/>
      <c r="C71" s="3" t="str">
        <f>IF(COUNTIF(FieldList1, "&lt;&gt;FALSE") = 0,"",SUBSTITUTE(LOWER(C60)," ","_") &amp;" = ")</f>
        <v/>
      </c>
      <c r="D71" t="str">
        <f>IF(COUNTIF(FieldList1, "&lt;&gt;FALSE") = 0,"","['"&amp;_xlfn.TEXTJOIN("', '", TRUE, _xlfn._xlws.FILTER(FieldRange,FieldList1&lt;&gt; FALSE, ""))&amp;"']")</f>
        <v/>
      </c>
    </row>
    <row r="72" spans="1:6" ht="15" hidden="1" customHeight="1" outlineLevel="2">
      <c r="A72" s="91"/>
      <c r="C72" s="17" t="str">
        <f>IF(COUNTIF(FieldList2, "&lt;&gt;FALSE") = 0,"",SUBSTITUTE(LOWER(C61)," ","_")&amp;" = ")</f>
        <v/>
      </c>
      <c r="D72" t="str">
        <f>IF(COUNTIF(FieldList2, "&lt;&gt;FALSE") = 0,"","['"&amp;_xlfn.TEXTJOIN("', '", TRUE, _xlfn._xlws.FILTER(FieldRange,FieldList2&lt;&gt; FALSE, ""))&amp;"']")</f>
        <v/>
      </c>
    </row>
    <row r="73" spans="1:6" ht="15" hidden="1" customHeight="1" outlineLevel="2">
      <c r="A73" s="91"/>
      <c r="C73" s="17" t="str">
        <f>IF(COUNTIF(FieldList3, "&lt;&gt;FALSE") = 0,"",SUBSTITUTE(LOWER(C62)," ","_")&amp;" = ")</f>
        <v/>
      </c>
      <c r="D73" t="str">
        <f>IF(COUNTIF(FieldList3, "&lt;&gt;FALSE") = 0,"","['"&amp;_xlfn.TEXTJOIN("', '", TRUE, _xlfn._xlws.FILTER(FieldRange,FieldList3&lt;&gt; FALSE, ""))&amp;"']")</f>
        <v/>
      </c>
    </row>
    <row r="74" spans="1:6" ht="15" hidden="1" customHeight="1" outlineLevel="2">
      <c r="A74" s="91"/>
      <c r="C74" s="17" t="str">
        <f>IF(COUNTIF(FieldList4, "&lt;&gt;FALSE") = 0,"",SUBSTITUTE(LOWER(C63)," ","_")&amp;" = ")</f>
        <v/>
      </c>
      <c r="D74" t="str">
        <f>IF(COUNTIF(FieldList4, "&lt;&gt;FALSE") = 0,"","['"&amp;_xlfn.TEXTJOIN("', '", TRUE, _xlfn._xlws.FILTER(FieldRange,FieldList4&lt;&gt; FALSE, ""))&amp;"']")</f>
        <v/>
      </c>
    </row>
    <row r="75" spans="1:6" ht="15" hidden="1" customHeight="1" outlineLevel="2">
      <c r="A75" s="91"/>
      <c r="C75" s="17" t="str">
        <f>IF(COUNTIF(FieldList5, "&lt;&gt;FALSE") = 0,"",SUBSTITUTE(LOWER(C64)," ","_")&amp;" = ")</f>
        <v/>
      </c>
      <c r="D75" t="str">
        <f>IF(COUNTIF(FieldList5, "&lt;&gt;FALSE") = 0,"","['"&amp;_xlfn.TEXTJOIN("', '", TRUE, _xlfn._xlws.FILTER(FieldRange,FieldList5&lt;&gt; FALSE, ""))&amp;"']")</f>
        <v/>
      </c>
    </row>
    <row r="76" spans="1:6" ht="15" hidden="1" customHeight="1" outlineLevel="2">
      <c r="A76" s="91"/>
      <c r="C76" s="17" t="str">
        <f>IF(COUNTIF(FieldList6, "&lt;&gt;FALSE") = 0,"",SUBSTITUTE(LOWER(C65)," ","_")&amp;" = ")</f>
        <v/>
      </c>
      <c r="D76" t="str">
        <f>IF(COUNTIF(FieldList6, "&lt;&gt;FALSE") = 0,"","['"&amp;_xlfn.TEXTJOIN("', '", TRUE, _xlfn._xlws.FILTER(FieldRange,FieldList6&lt;&gt; FALSE, ""))&amp;"']")</f>
        <v/>
      </c>
    </row>
    <row r="77" spans="1:6" ht="15" hidden="1" customHeight="1" outlineLevel="2">
      <c r="A77" s="91"/>
      <c r="C77" s="16" t="str">
        <f>IF(COUNTIF(FieldList7, "&lt;&gt;FALSE") = 0,"",SUBSTITUTE(LOWER(C66)," ","_")&amp;" = ")</f>
        <v/>
      </c>
      <c r="D77" t="str" cm="1">
        <f t="array" ref="D77">IF(COUNTIF(FieldList7, "&lt;&gt;FALSE") = 0,"","['"&amp;_xlfn.TEXTJOIN("', '", TRUE, _xlfn._xlws.FILTER(FieldRange,FieldList7&lt;&gt; FALSE, ""))&amp;"']")</f>
        <v/>
      </c>
    </row>
    <row r="78" spans="1:6" ht="15" hidden="1" customHeight="1" outlineLevel="2">
      <c r="A78" s="91"/>
      <c r="C78" s="3" t="str">
        <f>IF(COUNTIF(FieldList8, "&lt;&gt;FALSE") = 0,"",SUBSTITUTE(LOWER(C67)," ","_")&amp;" = ")</f>
        <v/>
      </c>
      <c r="D78" t="str" cm="1">
        <f t="array" ref="D78">IF(COUNTIF(FieldList8, "&lt;&gt;FALSE") = 0,"","['"&amp;_xlfn.TEXTJOIN("', '", TRUE, _xlfn._xlws.FILTER(FieldRange,FieldList8&lt;&gt; FALSE, ""))&amp;"']")</f>
        <v/>
      </c>
    </row>
    <row r="79" spans="1:6" ht="15" hidden="1" customHeight="1" outlineLevel="2">
      <c r="C79" s="15" t="str">
        <f>IF(COUNTIF(tbl_SourceData[Record List], "&lt;&gt;FALSE") = 0,"",SUBSTITUTE(LOWER(LightHeader)," ", "_") &amp;" = ")</f>
        <v/>
      </c>
      <c r="D79" t="str" cm="1">
        <f t="array" ref="D79">IF(COUNTIF(tbl_SourceData[Record List], "&lt;&gt;FALSE") = 0,"","['"&amp;_xlfn.TEXTJOIN("', '", TRUE, _xlfn._xlws.FILTER(_xlfn.TAKE(tbl_SourceData[],,-1), tbl_SourceData[Record List] &lt;&gt; FALSE, ""))&amp;"']")</f>
        <v/>
      </c>
    </row>
    <row r="80" spans="1:6" ht="10.199999999999999" hidden="1" customHeight="1" outlineLevel="1" collapsed="1"/>
    <row r="81" spans="3:6" ht="30" customHeight="1">
      <c r="C81" s="84" t="s">
        <v>37</v>
      </c>
      <c r="D81" s="82" t="s">
        <v>113</v>
      </c>
      <c r="E81" s="82" t="s">
        <v>38</v>
      </c>
      <c r="F81" s="82" t="s">
        <v>114</v>
      </c>
    </row>
    <row r="82" spans="3:6" ht="15" customHeight="1">
      <c r="C82" s="85" t="b">
        <v>0</v>
      </c>
      <c r="D82" s="83"/>
      <c r="E82" s="128"/>
      <c r="F82" s="83"/>
    </row>
    <row r="83" spans="3:6" ht="15" customHeight="1">
      <c r="C83" s="115" t="b">
        <v>0</v>
      </c>
      <c r="D83" s="83"/>
      <c r="E83" s="128"/>
      <c r="F83" s="83"/>
    </row>
  </sheetData>
  <phoneticPr fontId="27" type="noConversion"/>
  <conditionalFormatting sqref="D25:F32 D38:F42 D48:F56">
    <cfRule type="cellIs" dxfId="12" priority="22" operator="equal">
      <formula>0</formula>
    </cfRule>
  </conditionalFormatting>
  <conditionalFormatting sqref="C82:C83">
    <cfRule type="cellIs" dxfId="11" priority="21" operator="notEqual">
      <formula>FALSE</formula>
    </cfRule>
  </conditionalFormatting>
  <conditionalFormatting sqref="D19:F19">
    <cfRule type="cellIs" dxfId="10" priority="15" operator="notEqual">
      <formula>"Note"</formula>
    </cfRule>
  </conditionalFormatting>
  <conditionalFormatting sqref="D26:F28">
    <cfRule type="colorScale" priority="17">
      <colorScale>
        <cfvo type="num" val="0"/>
        <cfvo type="num" val="0.2"/>
        <color rgb="FF000000"/>
        <color rgb="FF7A0000"/>
      </colorScale>
    </cfRule>
  </conditionalFormatting>
  <conditionalFormatting sqref="C81 C60:C67">
    <cfRule type="duplicateValues" dxfId="9" priority="16"/>
  </conditionalFormatting>
  <conditionalFormatting sqref="D17:F17">
    <cfRule type="cellIs" dxfId="8" priority="14" operator="notEqual">
      <formula>"Definition"</formula>
    </cfRule>
  </conditionalFormatting>
  <conditionalFormatting sqref="D9">
    <cfRule type="cellIs" dxfId="7" priority="13" operator="notEqual">
      <formula>"Dataset Description"</formula>
    </cfRule>
  </conditionalFormatting>
  <conditionalFormatting sqref="D60:F67">
    <cfRule type="cellIs" dxfId="6" priority="19" operator="notEqual">
      <formula>FALSE</formula>
    </cfRule>
  </conditionalFormatting>
  <conditionalFormatting sqref="D14:D15">
    <cfRule type="colorScale" priority="4">
      <colorScale>
        <cfvo type="num" val="0"/>
        <cfvo type="num" val="0.2"/>
        <color theme="1" tint="-0.499984740745262"/>
        <color rgb="FF7A0000"/>
      </colorScale>
    </cfRule>
  </conditionalFormatting>
  <hyperlinks>
    <hyperlink ref="B3" location="Overview!A1" display=" Overview ↩" xr:uid="{2E0E45D0-E548-4387-AB5E-6DF0D17D6302}"/>
  </hyperlinks>
  <pageMargins left="0.7" right="0.7" top="0.75" bottom="0.75" header="0.3" footer="0.3"/>
  <pageSetup orientation="portrait" r:id="rId1"/>
  <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DFBB63E-9CA3-466B-AD4C-DEA2C62CA24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52</vt:i4>
      </vt:variant>
    </vt:vector>
  </HeadingPairs>
  <TitlesOfParts>
    <vt:vector size="57" baseType="lpstr">
      <vt:lpstr>meta</vt:lpstr>
      <vt:lpstr>SinglePlot</vt:lpstr>
      <vt:lpstr>Pivot</vt:lpstr>
      <vt:lpstr>|</vt:lpstr>
      <vt:lpstr>Field Analysis</vt:lpstr>
      <vt:lpstr>Back</vt:lpstr>
      <vt:lpstr>'Field Analysis'!Compiled_Lists</vt:lpstr>
      <vt:lpstr>'Field Analysis'!Composition</vt:lpstr>
      <vt:lpstr>'Field Analysis'!CompositionTable</vt:lpstr>
      <vt:lpstr>'Field Analysis'!DarkHeader</vt:lpstr>
      <vt:lpstr>'Field Analysis'!Data_Description</vt:lpstr>
      <vt:lpstr>Dataframes</vt:lpstr>
      <vt:lpstr>'|'!Debug</vt:lpstr>
      <vt:lpstr>'Field Analysis'!Definitions</vt:lpstr>
      <vt:lpstr>'Field Analysis'!Description</vt:lpstr>
      <vt:lpstr>'Field Analysis'!Dimensions</vt:lpstr>
      <vt:lpstr>'Field Analysis'!Field_Analysis</vt:lpstr>
      <vt:lpstr>'Field Analysis'!Field_Lists</vt:lpstr>
      <vt:lpstr>Field_Overview</vt:lpstr>
      <vt:lpstr>'Field Analysis'!FieldList1</vt:lpstr>
      <vt:lpstr>'Field Analysis'!FieldList2</vt:lpstr>
      <vt:lpstr>'Field Analysis'!FieldList3</vt:lpstr>
      <vt:lpstr>'Field Analysis'!FieldList4</vt:lpstr>
      <vt:lpstr>'Field Analysis'!FieldList5</vt:lpstr>
      <vt:lpstr>'Field Analysis'!FieldList6</vt:lpstr>
      <vt:lpstr>'Field Analysis'!FieldList7</vt:lpstr>
      <vt:lpstr>'Field Analysis'!FieldList8</vt:lpstr>
      <vt:lpstr>'Field Analysis'!FieldLists</vt:lpstr>
      <vt:lpstr>'Field Analysis'!FieldRange</vt:lpstr>
      <vt:lpstr>Fields</vt:lpstr>
      <vt:lpstr>'Field Analysis'!FormatRange</vt:lpstr>
      <vt:lpstr>'Field Analysis'!Headers</vt:lpstr>
      <vt:lpstr>'Field Analysis'!Headers_Start</vt:lpstr>
      <vt:lpstr>'Field Analysis'!Histogram</vt:lpstr>
      <vt:lpstr>'Field Analysis'!LightHeader</vt:lpstr>
      <vt:lpstr>'|'!Name</vt:lpstr>
      <vt:lpstr>'Field Analysis'!Name</vt:lpstr>
      <vt:lpstr>Pivot!Name</vt:lpstr>
      <vt:lpstr>SinglePlot!Name</vt:lpstr>
      <vt:lpstr>'Field Analysis'!Notes</vt:lpstr>
      <vt:lpstr>'Field Analysis'!Percentiles</vt:lpstr>
      <vt:lpstr>Pivot!PivotControls</vt:lpstr>
      <vt:lpstr>Pivot!PivotFiltersStart</vt:lpstr>
      <vt:lpstr>Pivot!PivotTableFilters</vt:lpstr>
      <vt:lpstr>SelectedSheet</vt:lpstr>
      <vt:lpstr>SelectedTable</vt:lpstr>
      <vt:lpstr>'Field Analysis'!SerializedLists</vt:lpstr>
      <vt:lpstr>SinglePlot!SinglePlot</vt:lpstr>
      <vt:lpstr>'Field Analysis'!Summary_Stats</vt:lpstr>
      <vt:lpstr>TableSelector</vt:lpstr>
      <vt:lpstr>'|'!Theme</vt:lpstr>
      <vt:lpstr>'Field Analysis'!Theme</vt:lpstr>
      <vt:lpstr>SinglePlot!Theme</vt:lpstr>
      <vt:lpstr>'Field Analysis'!Toggles</vt:lpstr>
      <vt:lpstr>'Field Analysis'!TopToggle</vt:lpstr>
      <vt:lpstr>'|'!Warning</vt:lpstr>
      <vt:lpstr>'Field Analysis'!Warning</vt:lpstr>
    </vt:vector>
  </TitlesOfParts>
  <Company>Information Designers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DarkTemplate</dc:title>
  <dc:creator>Michael Rivers</dc:creator>
  <cp:lastModifiedBy>Michael Rivers</cp:lastModifiedBy>
  <cp:lastPrinted>2026-06-16T23:27:06Z</cp:lastPrinted>
  <dcterms:created xsi:type="dcterms:W3CDTF">2025-12-28T23:38:43Z</dcterms:created>
  <dcterms:modified xsi:type="dcterms:W3CDTF">2026-06-21T01:05:10Z</dcterms:modified>
</cp:coreProperties>
</file>