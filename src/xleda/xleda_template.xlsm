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6EA5463F-C130-4E1C-AB0E-D88BD38319F5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Analysis'!$D$57:$E$57</definedName>
    <definedName name="FieldList2">'Field Analysis'!$D$58:$E$58</definedName>
    <definedName name="FieldList3">'Field Analysis'!$D$59:$E$59</definedName>
    <definedName name="FieldList4">'Field Analysis'!$D$60:$E$60</definedName>
    <definedName name="FieldList5">'Field Analysis'!$D$61:$E$61</definedName>
    <definedName name="FieldList6">'Field Analysis'!$D$62:$E$62</definedName>
    <definedName name="FieldList7">'Field Analysis'!$D$63:$E$63</definedName>
    <definedName name="FieldList8">'Field Analysis'!$D$64:$E$64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Analysis'!$D$9:$E$9</definedName>
    <definedName name="Percentiles">'Field Analysis'!$D$45:$D$54</definedName>
    <definedName name="RecordHashes">'Field Analysis'!#REF!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8" i="3" l="1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<sst xmlns="http://schemas.openxmlformats.org/spreadsheetml/2006/main" count="96" uniqueCount="58">
  <si>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</si>
  <si>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</si>
  <si>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</si>
  <si>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</si>
  <si>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</si>
  <si>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</si>
  <si>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</si>
  <si>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</si>
  <si>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</si>
  <si>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</si>
  <si>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</si>
  <si>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</si>
  <si>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</si>
  <si>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</si>
  <si>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</si>
  <si>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</si>
  <si>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</si>
  <si>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</si>
  <si>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</si>
  <si>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</si>
  <si>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</si>
  <si>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</si>
  <si>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</si>
  <si>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</si>
  <si>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</si>
  <si>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</si>
  <si>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</si>
  <si>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</si>
  <si>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</si>
  <si>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</si>
  <si>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</si>
  <si>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</si>
  <si>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</si>
  <si>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</si>
  <si>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</si>
  <si>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</si>
  <si>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</si>
  <si>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</si>
  <si>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</si>
  <si>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</si>
  <si>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</si>
  <si>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</si>
  <si>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</si>
  <si>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</si>
  <si>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</si>
  <si>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</si>
  <si>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Name</t>
  </si>
  <si>
    <t>DarkHeader</t>
  </si>
  <si>
    <t>Columns</t>
  </si>
  <si>
    <t>Dimensions</t>
  </si>
  <si>
    <t>Compiled Lists</t>
  </si>
  <si>
    <t>Field Lists</t>
  </si>
  <si>
    <t>Percentiles</t>
  </si>
  <si>
    <t>Summary Stats</t>
  </si>
  <si>
    <t>Composition</t>
  </si>
  <si>
    <t>Data Description</t>
  </si>
  <si>
    <t>FormatRange</t>
  </si>
  <si>
    <t>xleda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</si>
</sst>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0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10" fillId="8" borderId="3" xfId="1" applyFont="1" applyFill="1" applyBorder="1" applyAlignment="1">
      <alignment horizontal="left" vertical="center" wrapText="1" indent="1"/>
    </xf>
    <xf numFmtId="0" fontId="10" fillId="8" borderId="7" xfId="1" applyFont="1" applyFill="1" applyBorder="1" applyAlignment="1">
      <alignment horizontal="left" vertical="center" wrapText="1" indent="1"/>
    </xf>
    <xf numFmtId="0" fontId="10" fillId="8" borderId="3" xfId="1" applyFont="1" applyFill="1" applyBorder="1" applyAlignment="1">
      <alignment horizontal="center" vertical="center" wrapText="1"/>
    </xf>
    <xf numFmtId="9" fontId="10" fillId="8" borderId="3" xfId="1" applyNumberFormat="1" applyFont="1" applyFill="1" applyBorder="1" applyAlignment="1">
      <alignment horizontal="center" vertical="center" wrapText="1"/>
    </xf>
    <xf numFmtId="0" fontId="24" fillId="8" borderId="0" xfId="1" applyFont="1" applyFill="1" applyBorder="1" applyAlignment="1">
      <alignment wrapText="1"/>
    </xf>
    <xf numFmtId="0" fontId="25" fillId="8" borderId="0" xfId="1" applyFont="1" applyFill="1" applyBorder="1" applyAlignment="1">
      <alignment vertical="center" wrapText="1"/>
    </xf>
    <xf numFmtId="0" fontId="23" fillId="8" borderId="0" xfId="1" applyFont="1" applyFill="1" applyBorder="1" applyAlignment="1"/>
    <xf numFmtId="0" fontId="7" fillId="8" borderId="0" xfId="1" applyFont="1" applyFill="1" applyBorder="1" applyAlignment="1">
      <alignment horizontal="center" vertical="center" wrapText="1"/>
    </xf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7" fillId="8" borderId="9" xfId="1" applyFont="1" applyFill="1" applyBorder="1" applyAlignment="1">
      <alignment horizontal="center" vertic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6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5"/>
      <tableStyleElement type="headerRow" dxfId="54"/>
      <tableStyleElement type="totalRow" dxfId="53"/>
      <tableStyleElement type="firstColumn" dxfId="52"/>
      <tableStyleElement type="lastColumn" dxfId="51"/>
      <tableStyleElement type="firstRowStripe" dxfId="50"/>
      <tableStyleElement type="secondRowStripe" dxfId="49"/>
      <tableStyleElement type="firstColumnStripe" dxfId="4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47" dataDxfId="45" headerRowBorderDxfId="46" headerRowCellStyle="Normal 2">
  <autoFilter ref="B10:AA13" xr:uid="{7EC467B7-DE9E-48DF-95B5-2995F1F6DE8F}"/>
  <tableColumns count="26">
    <tableColumn id="1" xr3:uid="{CDAE6949-9186-42E8-AEBE-1928381A0155}" name="Field" dataDxfId="44" dataCellStyle="Normal 2"/>
    <tableColumn id="2" xr3:uid="{24D139B7-BFC8-4DD9-8DE4-2245810E04F3}" name="Definition" dataDxfId="43" dataCellStyle="Normal 2"/>
    <tableColumn id="3" xr3:uid="{92B45608-BAB5-470F-8B3E-2910EF660813}" name="Field Notes" dataDxfId="42" dataCellStyle="Normal 2"/>
    <tableColumn id="4" xr3:uid="{8387EFA9-4555-4DF4-B699-541F401C46D0}" name="Data type" dataDxfId="41"/>
    <tableColumn id="8" xr3:uid="{30CDB1E0-924C-48B4-82F4-9B3E3228BE95}" name="Distinct %" dataDxfId="40"/>
    <tableColumn id="12" xr3:uid="{03824906-BEA5-4B63-A981-21F959B6439E}" name="Missing %" dataDxfId="39" dataCellStyle="Percent 2"/>
    <tableColumn id="6" xr3:uid="{8DFFE5A0-8676-4576-AB4D-97E8B31EC097}" name="Memory Usage %" dataDxfId="38" dataCellStyle="Percent 2"/>
    <tableColumn id="5" xr3:uid="{DD50C3DA-F4A8-40F0-AFBD-DBF916650F7E}" name="Memory Usage" dataDxfId="37"/>
    <tableColumn id="7" xr3:uid="{A0CD56D0-07EF-46CA-BC46-D54CD5E746C7}" name="Distinct" dataDxfId="36"/>
    <tableColumn id="9" xr3:uid="{1C848176-6AC1-44A6-9B3B-F1C9E8BC32EA}" name="Count" dataDxfId="35"/>
    <tableColumn id="10" xr3:uid="{6C6E6A37-4969-459F-AC39-2193366810E2}" name="Count %" dataDxfId="34"/>
    <tableColumn id="11" xr3:uid="{CD47252D-0307-4513-AF7C-13CC4AA1FCD9}" name="Missing" dataDxfId="33"/>
    <tableColumn id="13" xr3:uid="{2B45F7F8-CE35-48A6-BB27-9684B5D7936D}" name="Mean" dataDxfId="32"/>
    <tableColumn id="14" xr3:uid="{293386E4-1FA6-4340-9DC6-54CC26209C0A}" name="Median" dataDxfId="31"/>
    <tableColumn id="15" xr3:uid="{29252F5E-4163-4D62-89FC-FF85F6C4755C}" name="Mode" dataDxfId="30"/>
    <tableColumn id="16" xr3:uid="{69FFA3C1-FD1E-4395-AF2E-177FDFCDE62A}" name="Standard Deviation" dataDxfId="29"/>
    <tableColumn id="17" xr3:uid="{2AAB37E9-8AE2-4771-B92B-C04BFABA0B4E}" name="Variance" dataDxfId="28"/>
    <tableColumn id="18" xr3:uid="{07151E41-6633-4A65-A7E1-091F027DEF95}" name="Min" dataDxfId="27"/>
    <tableColumn id="19" xr3:uid="{41A1FD5D-4E5C-45B3-A0C7-1820F89F417F}" name="5%" dataDxfId="26"/>
    <tableColumn id="20" xr3:uid="{50D70984-5A2E-4A19-9F2B-5DA0502339BC}" name="25%" dataDxfId="25"/>
    <tableColumn id="21" xr3:uid="{75FF5489-8FC0-4894-83BC-802076BF1066}" name="50%" dataDxfId="24"/>
    <tableColumn id="22" xr3:uid="{B7FA20A8-EE17-470E-93AD-54011230C113}" name="75%" dataDxfId="23"/>
    <tableColumn id="23" xr3:uid="{378BE758-7A3F-4C04-A75B-FE899B1B0BAD}" name="95%" dataDxfId="22"/>
    <tableColumn id="24" xr3:uid="{818594E7-DC84-4229-81F6-97C1E2E93633}" name="Max" dataDxfId="21"/>
    <tableColumn id="25" xr3:uid="{D8116583-A886-47C1-85E2-D28AD96194AD}" name="Range" dataDxfId="20"/>
    <tableColumn id="26" xr3:uid="{D061AC6A-EAB2-461F-8AB8-E743DC68E666}" name="IQR" dataDxfId="1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F80" totalsRowShown="0" headerRowDxfId="18" dataDxfId="17">
  <autoFilter ref="C78:F80" xr:uid="{DB263373-2B4F-4302-9CF6-5012CE3F1A47}"/>
  <tableColumns count="4">
    <tableColumn id="1" xr3:uid="{B87F6371-B38F-4AA9-8A9B-F1D62600E38F}" name="Record List" dataDxfId="16"/>
    <tableColumn id="2" xr3:uid="{55547D6A-0C4F-44F3-8DA7-D9918F9ECA79}" name="DarkHeader" dataDxfId="15"/>
    <tableColumn id="8" xr3:uid="{5CEA6B82-08F7-4BBF-BE74-DD211F1E2384}" name="Record Hash" dataDxfId="14"/>
    <tableColumn id="3" xr3:uid="{6C0B3232-D5C0-4185-AF99-A47484E561D2}" name="FormatRange" dataDxfId="13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InfoDesigner/xleda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90" t="str">
        <f>Name</f>
        <v>Name</v>
      </c>
      <c r="C2"/>
      <c r="AA2" s="115" t="e" vm="1">
        <v>#VALUE!</v>
      </c>
    </row>
    <row r="3" spans="2:27" ht="10.050000000000001" customHeight="1">
      <c r="B3"/>
      <c r="C3"/>
      <c r="AA3" s="114"/>
    </row>
    <row r="4" spans="2:27">
      <c r="B4" s="99" t="s">
        <v>26</v>
      </c>
      <c r="C4" s="48"/>
      <c r="AA4" s="116" t="s">
        <v>57</v>
      </c>
    </row>
    <row r="5" spans="2:27">
      <c r="B5" s="99" t="s">
        <v>27</v>
      </c>
      <c r="C5" s="49"/>
    </row>
    <row r="6" spans="2:27">
      <c r="B6" s="101" t="s">
        <v>4</v>
      </c>
      <c r="C6" s="49"/>
      <c r="F6" s="46"/>
    </row>
    <row r="7" spans="2:27">
      <c r="B7" s="97" t="s">
        <v>7</v>
      </c>
      <c r="C7" s="45"/>
    </row>
    <row r="8" spans="2:27">
      <c r="B8" s="101" t="s">
        <v>10</v>
      </c>
      <c r="C8" s="47"/>
      <c r="D8" s="44"/>
    </row>
    <row r="9" spans="2:27" ht="24" customHeight="1">
      <c r="B9"/>
      <c r="C9"/>
    </row>
    <row r="10" spans="2:27" ht="34.950000000000003" customHeight="1">
      <c r="B10" s="67" t="s">
        <v>28</v>
      </c>
      <c r="C10" s="68" t="s">
        <v>29</v>
      </c>
      <c r="D10" s="68" t="s">
        <v>30</v>
      </c>
      <c r="E10" s="69" t="s">
        <v>3</v>
      </c>
      <c r="F10" s="69" t="s">
        <v>7</v>
      </c>
      <c r="G10" s="69" t="s">
        <v>10</v>
      </c>
      <c r="H10" s="69" t="s">
        <v>5</v>
      </c>
      <c r="I10" s="69" t="s">
        <v>4</v>
      </c>
      <c r="J10" s="69" t="s">
        <v>6</v>
      </c>
      <c r="K10" s="69" t="s">
        <v>8</v>
      </c>
      <c r="L10" s="69" t="s">
        <v>32</v>
      </c>
      <c r="M10" s="69" t="s">
        <v>9</v>
      </c>
      <c r="N10" s="69" t="s">
        <v>11</v>
      </c>
      <c r="O10" s="69" t="s">
        <v>12</v>
      </c>
      <c r="P10" s="69" t="s">
        <v>13</v>
      </c>
      <c r="Q10" s="69" t="s">
        <v>14</v>
      </c>
      <c r="R10" s="69" t="s">
        <v>15</v>
      </c>
      <c r="S10" s="69" t="s">
        <v>16</v>
      </c>
      <c r="T10" s="70" t="s">
        <v>33</v>
      </c>
      <c r="U10" s="70" t="s">
        <v>34</v>
      </c>
      <c r="V10" s="70" t="s">
        <v>35</v>
      </c>
      <c r="W10" s="70" t="s">
        <v>36</v>
      </c>
      <c r="X10" s="70" t="s">
        <v>37</v>
      </c>
      <c r="Y10" s="69" t="s">
        <v>17</v>
      </c>
      <c r="Z10" s="69" t="s">
        <v>18</v>
      </c>
      <c r="AA10" s="69" t="s">
        <v>19</v>
      </c>
    </row>
    <row r="11" spans="2:27">
      <c r="B11" s="62"/>
      <c r="C11" s="50"/>
      <c r="D11" s="50"/>
      <c r="E11" s="108"/>
      <c r="F11" s="52"/>
      <c r="G11" s="53"/>
      <c r="H11" s="52"/>
      <c r="I11" s="54"/>
      <c r="J11" s="54"/>
      <c r="K11" s="54"/>
      <c r="L11" s="55"/>
      <c r="M11" s="54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</row>
    <row r="12" spans="2:27">
      <c r="B12" s="63"/>
      <c r="C12" s="51"/>
      <c r="D12" s="51"/>
      <c r="E12" s="108"/>
      <c r="F12" s="55"/>
      <c r="G12" s="57"/>
      <c r="H12" s="58"/>
      <c r="I12" s="54"/>
      <c r="J12" s="54"/>
      <c r="K12" s="54"/>
      <c r="L12" s="55"/>
      <c r="M12" s="54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</row>
    <row r="13" spans="2:27">
      <c r="B13" s="63"/>
      <c r="C13" s="64"/>
      <c r="D13" s="65"/>
      <c r="E13" s="108"/>
      <c r="F13" s="55"/>
      <c r="G13" s="57"/>
      <c r="H13" s="58"/>
      <c r="I13" s="54"/>
      <c r="J13" s="54"/>
      <c r="K13" s="54"/>
      <c r="L13" s="55"/>
      <c r="M13" s="54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hyperlinks>
    <hyperlink ref="AA2" r:id="rId1" display="https://github.com/InfoDesigner/xleda/" xr:uid="{AD209032-EA95-4D25-AE58-969B8B7A2C1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8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6" customWidth="1"/>
    <col min="4" max="6" width="27.77734375" style="1" customWidth="1"/>
    <col min="11" max="11" width="7.5546875" bestFit="1" customWidth="1"/>
    <col min="12" max="12" width="7.33203125" customWidth="1"/>
  </cols>
  <sheetData>
    <row r="1" spans="1:14" ht="31.8" hidden="1" customHeight="1">
      <c r="A1" s="39"/>
      <c r="B1" s="40"/>
      <c r="C1" s="41" t="s">
        <v>39</v>
      </c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0.050000000000001" customHeight="1">
      <c r="A2" s="75"/>
      <c r="B2" s="75"/>
      <c r="C2" s="75"/>
      <c r="D2"/>
      <c r="E2"/>
    </row>
    <row r="3" spans="1:14" ht="36.6" customHeight="1">
      <c r="A3" s="77"/>
      <c r="B3" s="105" t="s">
        <v>0</v>
      </c>
      <c r="C3" s="90" t="s">
        <v>46</v>
      </c>
      <c r="D3"/>
      <c r="E3"/>
      <c r="F3" s="115" t="e" vm="1">
        <v>#VALUE!</v>
      </c>
      <c r="H3" s="112"/>
    </row>
    <row r="4" spans="1:14" ht="4.95" customHeight="1">
      <c r="A4" s="75"/>
      <c r="B4" s="75"/>
      <c r="C4" s="75"/>
      <c r="D4"/>
      <c r="E4"/>
      <c r="F4" s="114"/>
    </row>
    <row r="5" spans="1:14" ht="19.95" customHeight="1">
      <c r="A5" s="77"/>
      <c r="B5" s="89" t="s">
        <v>0</v>
      </c>
      <c r="C5" s="91" t="s">
        <v>30</v>
      </c>
      <c r="D5"/>
      <c r="E5"/>
      <c r="F5" s="116" t="s">
        <v>57</v>
      </c>
    </row>
    <row r="6" spans="1:14" ht="4.95" customHeight="1">
      <c r="A6" s="31"/>
      <c r="B6" s="84"/>
      <c r="C6" s="85"/>
      <c r="D6" s="77"/>
      <c r="E6" s="77"/>
      <c r="F6" s="77"/>
      <c r="G6" s="113"/>
    </row>
    <row r="7" spans="1:14" ht="37.799999999999997" hidden="1" customHeight="1" outlineLevel="1">
      <c r="A7" s="31"/>
      <c r="B7" s="84"/>
      <c r="C7" s="86" t="s">
        <v>38</v>
      </c>
      <c r="D7" s="82" t="s">
        <v>29</v>
      </c>
      <c r="E7" s="82" t="s">
        <v>29</v>
      </c>
      <c r="F7" s="82" t="s">
        <v>29</v>
      </c>
    </row>
    <row r="8" spans="1:14" ht="10.050000000000001" hidden="1" customHeight="1" outlineLevel="1">
      <c r="A8" s="66"/>
      <c r="B8" s="87"/>
      <c r="C8" s="66"/>
      <c r="D8" s="75"/>
      <c r="E8" s="75"/>
      <c r="F8" s="75"/>
    </row>
    <row r="9" spans="1:14" ht="37.799999999999997" hidden="1" customHeight="1" outlineLevel="1">
      <c r="A9" s="31"/>
      <c r="B9" s="83"/>
      <c r="C9" s="86" t="s">
        <v>1</v>
      </c>
      <c r="D9" s="82" t="s">
        <v>1</v>
      </c>
      <c r="E9" s="82" t="s">
        <v>1</v>
      </c>
      <c r="F9" s="82" t="s">
        <v>1</v>
      </c>
    </row>
    <row r="10" spans="1:14" ht="4.95" hidden="1" customHeight="1" outlineLevel="1">
      <c r="C10" s="3"/>
      <c r="D10" s="59"/>
      <c r="E10" s="59"/>
      <c r="F10" s="59"/>
    </row>
    <row r="11" spans="1:14" s="107" customFormat="1" ht="30" customHeight="1" collapsed="1">
      <c r="A11" s="5"/>
      <c r="B11" s="73"/>
      <c r="C11" s="71" t="s">
        <v>2</v>
      </c>
      <c r="D11" s="74"/>
      <c r="E11" s="74"/>
      <c r="F11" s="74"/>
    </row>
    <row r="12" spans="1:14" ht="4.95" customHeight="1">
      <c r="A12"/>
      <c r="B12"/>
      <c r="C12"/>
      <c r="D12"/>
      <c r="E12"/>
      <c r="F12"/>
    </row>
    <row r="13" spans="1:14" ht="19.95" customHeight="1" outlineLevel="1">
      <c r="A13" s="77"/>
      <c r="B13" s="89" t="s">
        <v>0</v>
      </c>
      <c r="C13" s="91" t="s">
        <v>55</v>
      </c>
      <c r="D13" s="76"/>
      <c r="E13" s="76"/>
      <c r="F13" s="76"/>
    </row>
    <row r="14" spans="1:14" ht="4.95" customHeight="1" outlineLevel="1">
      <c r="A14" s="77"/>
      <c r="B14" s="79"/>
      <c r="C14" s="80"/>
      <c r="D14" s="77"/>
      <c r="E14" s="76"/>
      <c r="F14" s="76"/>
    </row>
    <row r="15" spans="1:14" ht="84.6" hidden="1" customHeight="1" outlineLevel="2">
      <c r="A15" s="77"/>
      <c r="B15" s="79"/>
      <c r="C15" s="88"/>
      <c r="D15" s="110" t="s">
        <v>25</v>
      </c>
      <c r="E15" s="111"/>
      <c r="F15" s="76"/>
    </row>
    <row r="16" spans="1:14" ht="10.050000000000001" hidden="1" customHeight="1" outlineLevel="2">
      <c r="A16" s="77"/>
      <c r="B16" s="79"/>
      <c r="C16" s="81"/>
      <c r="D16" s="78"/>
      <c r="E16" s="77"/>
      <c r="F16" s="77"/>
    </row>
    <row r="17" spans="1:6" hidden="1" outlineLevel="2">
      <c r="A17" s="77"/>
      <c r="B17" s="79"/>
      <c r="C17" s="102" t="s">
        <v>26</v>
      </c>
      <c r="D17" s="106" t="s">
        <v>49</v>
      </c>
      <c r="E17" s="46"/>
      <c r="F17" s="46"/>
    </row>
    <row r="18" spans="1:6" hidden="1" outlineLevel="2">
      <c r="A18" s="77"/>
      <c r="B18" s="79"/>
      <c r="C18" s="102" t="s">
        <v>48</v>
      </c>
      <c r="D18" s="106"/>
      <c r="E18" s="46"/>
      <c r="F18" s="46"/>
    </row>
    <row r="19" spans="1:6" ht="4.95" hidden="1" customHeight="1" outlineLevel="2">
      <c r="A19" s="77"/>
      <c r="B19" s="79"/>
      <c r="C19" s="81"/>
      <c r="D19" s="78"/>
      <c r="E19"/>
      <c r="F19"/>
    </row>
    <row r="20" spans="1:6" ht="19.95" customHeight="1" outlineLevel="1" collapsed="1">
      <c r="B20" s="89" t="s">
        <v>0</v>
      </c>
      <c r="C20" s="91" t="s">
        <v>54</v>
      </c>
      <c r="D20" s="103"/>
      <c r="E20"/>
      <c r="F20"/>
    </row>
    <row r="21" spans="1:6" ht="4.95" customHeight="1" outlineLevel="1">
      <c r="B21" s="9"/>
      <c r="C21" s="34"/>
      <c r="D21" s="34"/>
      <c r="E21" s="34"/>
      <c r="F21" s="34"/>
    </row>
    <row r="22" spans="1:6" ht="14.4" customHeight="1" outlineLevel="2">
      <c r="A22" s="35"/>
      <c r="B22" s="36"/>
      <c r="C22" s="99" t="s">
        <v>3</v>
      </c>
      <c r="D22" s="11"/>
      <c r="E22" s="11"/>
      <c r="F22" s="11"/>
    </row>
    <row r="23" spans="1:6" ht="14.4" customHeight="1" outlineLevel="2">
      <c r="A23" s="35"/>
      <c r="B23" s="37"/>
      <c r="C23" s="97" t="s">
        <v>7</v>
      </c>
      <c r="D23" s="38"/>
      <c r="E23" s="38"/>
      <c r="F23" s="38"/>
    </row>
    <row r="24" spans="1:6" ht="14.4" customHeight="1" outlineLevel="2">
      <c r="A24" s="35"/>
      <c r="B24" s="37"/>
      <c r="C24" s="97" t="s">
        <v>10</v>
      </c>
      <c r="D24" s="38"/>
      <c r="E24" s="38"/>
      <c r="F24" s="38"/>
    </row>
    <row r="25" spans="1:6" ht="14.4" customHeight="1" outlineLevel="2">
      <c r="B25" s="12"/>
      <c r="C25" s="101" t="s">
        <v>5</v>
      </c>
      <c r="D25" s="38"/>
      <c r="E25" s="38"/>
      <c r="F25" s="38"/>
    </row>
    <row r="26" spans="1:6" ht="14.4" customHeight="1" outlineLevel="2">
      <c r="B26" s="12"/>
      <c r="C26" s="97" t="s">
        <v>4</v>
      </c>
      <c r="D26" s="11"/>
      <c r="E26" s="11"/>
      <c r="F26" s="11"/>
    </row>
    <row r="27" spans="1:6" ht="14.4" customHeight="1" outlineLevel="2">
      <c r="B27" s="12"/>
      <c r="C27" s="97" t="s">
        <v>6</v>
      </c>
      <c r="D27" s="11"/>
      <c r="E27" s="11"/>
      <c r="F27" s="11"/>
    </row>
    <row r="28" spans="1:6" ht="14.4" customHeight="1" outlineLevel="2">
      <c r="B28" s="12"/>
      <c r="C28" s="97" t="s">
        <v>8</v>
      </c>
      <c r="D28" s="11"/>
      <c r="E28" s="11"/>
      <c r="F28" s="11"/>
    </row>
    <row r="29" spans="1:6" ht="14.4" customHeight="1" outlineLevel="2">
      <c r="B29" s="12"/>
      <c r="C29" s="101" t="s">
        <v>9</v>
      </c>
      <c r="D29" s="13"/>
      <c r="E29" s="13"/>
      <c r="F29" s="13"/>
    </row>
    <row r="30" spans="1:6" ht="4.95" customHeight="1" outlineLevel="2">
      <c r="B30" s="9"/>
      <c r="D30" s="6"/>
      <c r="E30" s="6"/>
      <c r="F30" s="6"/>
    </row>
    <row r="31" spans="1:6" ht="150" customHeight="1" outlineLevel="2">
      <c r="B31" s="14"/>
      <c r="C31" s="15"/>
      <c r="D31" s="16"/>
      <c r="E31" s="16"/>
      <c r="F31" s="16"/>
    </row>
    <row r="32" spans="1:6" ht="4.95" customHeight="1" outlineLevel="2">
      <c r="B32" s="17"/>
      <c r="D32" s="6"/>
      <c r="E32" s="6"/>
      <c r="F32" s="6"/>
    </row>
    <row r="33" spans="1:6" ht="19.95" customHeight="1" outlineLevel="1">
      <c r="B33" s="89" t="s">
        <v>0</v>
      </c>
      <c r="C33" s="91" t="s">
        <v>53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99" t="s">
        <v>11</v>
      </c>
      <c r="D35" s="21"/>
      <c r="E35" s="21"/>
      <c r="F35" s="21"/>
    </row>
    <row r="36" spans="1:6" ht="14.4" hidden="1" customHeight="1" outlineLevel="2">
      <c r="B36" s="12"/>
      <c r="C36" s="100" t="s">
        <v>12</v>
      </c>
      <c r="D36" s="22"/>
      <c r="E36" s="22"/>
      <c r="F36" s="22"/>
    </row>
    <row r="37" spans="1:6" ht="14.4" hidden="1" customHeight="1" outlineLevel="2">
      <c r="B37" s="12"/>
      <c r="C37" s="97" t="s">
        <v>13</v>
      </c>
      <c r="D37" s="13"/>
      <c r="E37" s="13"/>
      <c r="F37" s="13"/>
    </row>
    <row r="38" spans="1:6" ht="14.4" hidden="1" customHeight="1" outlineLevel="2">
      <c r="B38" s="12"/>
      <c r="C38" s="100" t="s">
        <v>14</v>
      </c>
      <c r="D38" s="23"/>
      <c r="E38" s="23"/>
      <c r="F38" s="23"/>
    </row>
    <row r="39" spans="1:6" ht="14.4" hidden="1" customHeight="1" outlineLevel="2">
      <c r="B39" s="12"/>
      <c r="C39" s="101" t="s">
        <v>15</v>
      </c>
      <c r="D39" s="21"/>
      <c r="E39" s="21"/>
      <c r="F39" s="21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4"/>
      <c r="C41" s="15"/>
      <c r="D41" s="16"/>
      <c r="E41" s="16"/>
      <c r="F41" s="16"/>
    </row>
    <row r="42" spans="1:6" ht="4.95" hidden="1" customHeight="1" outlineLevel="2">
      <c r="A42" s="18"/>
      <c r="B42" s="14"/>
      <c r="C42" s="24"/>
      <c r="D42" s="6"/>
      <c r="E42" s="6"/>
      <c r="F42" s="6"/>
    </row>
    <row r="43" spans="1:6" ht="19.95" customHeight="1" outlineLevel="1" collapsed="1">
      <c r="B43" s="89" t="s">
        <v>0</v>
      </c>
      <c r="C43" s="91" t="s">
        <v>52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94" t="s">
        <v>16</v>
      </c>
      <c r="D45" s="23"/>
      <c r="E45" s="23"/>
      <c r="F45" s="23"/>
    </row>
    <row r="46" spans="1:6" ht="14.4" hidden="1" customHeight="1" outlineLevel="2">
      <c r="B46" s="9"/>
      <c r="C46" s="95">
        <v>0.05</v>
      </c>
      <c r="D46" s="21"/>
      <c r="E46" s="21"/>
      <c r="F46" s="21"/>
    </row>
    <row r="47" spans="1:6" ht="14.4" hidden="1" customHeight="1" outlineLevel="2">
      <c r="B47" s="9"/>
      <c r="C47" s="96">
        <v>0.25</v>
      </c>
      <c r="D47" s="23"/>
      <c r="E47" s="23"/>
      <c r="F47" s="23"/>
    </row>
    <row r="48" spans="1:6" ht="14.4" hidden="1" customHeight="1" outlineLevel="2">
      <c r="B48" s="9"/>
      <c r="C48" s="95">
        <v>0.5</v>
      </c>
      <c r="D48" s="21"/>
      <c r="E48" s="21"/>
      <c r="F48" s="21"/>
    </row>
    <row r="49" spans="1:6" ht="14.4" hidden="1" customHeight="1" outlineLevel="2">
      <c r="B49" s="9"/>
      <c r="C49" s="96">
        <v>0.75</v>
      </c>
      <c r="D49" s="23"/>
      <c r="E49" s="23"/>
      <c r="F49" s="23"/>
    </row>
    <row r="50" spans="1:6" ht="14.4" hidden="1" customHeight="1" outlineLevel="2">
      <c r="B50" s="9"/>
      <c r="C50" s="95">
        <v>0.95</v>
      </c>
      <c r="D50" s="21"/>
      <c r="E50" s="21"/>
      <c r="F50" s="21"/>
    </row>
    <row r="51" spans="1:6" ht="14.4" hidden="1" customHeight="1" outlineLevel="2">
      <c r="B51" s="9"/>
      <c r="C51" s="96" t="s">
        <v>17</v>
      </c>
      <c r="D51" s="23"/>
      <c r="E51" s="23"/>
      <c r="F51" s="23"/>
    </row>
    <row r="52" spans="1:6" ht="14.4" hidden="1" customHeight="1" outlineLevel="2">
      <c r="B52" s="9"/>
      <c r="C52" s="97" t="s">
        <v>18</v>
      </c>
      <c r="D52" s="21"/>
      <c r="E52" s="21"/>
      <c r="F52" s="21"/>
    </row>
    <row r="53" spans="1:6" ht="14.4" hidden="1" customHeight="1" outlineLevel="2">
      <c r="B53" s="17"/>
      <c r="C53" s="98" t="s">
        <v>19</v>
      </c>
      <c r="D53" s="23"/>
      <c r="E53" s="23"/>
      <c r="F53" s="23"/>
    </row>
    <row r="54" spans="1:6" ht="4.95" hidden="1" customHeight="1" outlineLevel="2">
      <c r="B54" s="17"/>
      <c r="D54" s="6"/>
      <c r="E54" s="6"/>
      <c r="F54" s="6"/>
    </row>
    <row r="55" spans="1:6" ht="19.95" customHeight="1" outlineLevel="1" collapsed="1">
      <c r="A55" s="29"/>
      <c r="B55" s="89" t="s">
        <v>0</v>
      </c>
      <c r="C55" s="91" t="s">
        <v>51</v>
      </c>
      <c r="D55" s="6"/>
      <c r="E55" s="6"/>
      <c r="F55" s="6"/>
    </row>
    <row r="56" spans="1:6" ht="4.95" customHeight="1" outlineLevel="1">
      <c r="A56" s="29"/>
      <c r="B56" s="19"/>
      <c r="D56" s="6"/>
      <c r="E56" s="6"/>
      <c r="F56" s="6"/>
    </row>
    <row r="57" spans="1:6" ht="14.4" hidden="1" customHeight="1" outlineLevel="2">
      <c r="A57" s="29"/>
      <c r="B57" s="29"/>
      <c r="C57" s="92" t="s">
        <v>40</v>
      </c>
      <c r="D57" s="61" t="b">
        <v>0</v>
      </c>
      <c r="E57" s="61" t="b">
        <v>0</v>
      </c>
      <c r="F57" s="61" t="b">
        <v>0</v>
      </c>
    </row>
    <row r="58" spans="1:6" ht="14.4" hidden="1" customHeight="1" outlineLevel="2">
      <c r="A58" s="29"/>
      <c r="B58" s="29"/>
      <c r="C58" s="92" t="s">
        <v>41</v>
      </c>
      <c r="D58" s="61" t="b">
        <v>0</v>
      </c>
      <c r="E58" s="61" t="b">
        <v>0</v>
      </c>
      <c r="F58" s="61" t="b">
        <v>0</v>
      </c>
    </row>
    <row r="59" spans="1:6" ht="14.4" hidden="1" customHeight="1" outlineLevel="2">
      <c r="A59" s="29"/>
      <c r="B59" s="29"/>
      <c r="C59" s="92" t="s">
        <v>42</v>
      </c>
      <c r="D59" s="61" t="b">
        <v>0</v>
      </c>
      <c r="E59" s="61" t="b">
        <v>0</v>
      </c>
      <c r="F59" s="61" t="b">
        <v>0</v>
      </c>
    </row>
    <row r="60" spans="1:6" ht="14.4" hidden="1" customHeight="1" outlineLevel="2">
      <c r="A60" s="29"/>
      <c r="B60" s="29"/>
      <c r="C60" s="92" t="s">
        <v>43</v>
      </c>
      <c r="D60" s="61" t="b">
        <v>0</v>
      </c>
      <c r="E60" s="61" t="b">
        <v>0</v>
      </c>
      <c r="F60" s="61" t="b">
        <v>0</v>
      </c>
    </row>
    <row r="61" spans="1:6" ht="14.4" hidden="1" customHeight="1" outlineLevel="2">
      <c r="A61" s="29"/>
      <c r="B61" s="29"/>
      <c r="C61" s="92" t="s">
        <v>44</v>
      </c>
      <c r="D61" s="61" t="b">
        <v>0</v>
      </c>
      <c r="E61" s="61" t="b">
        <v>0</v>
      </c>
      <c r="F61" s="61" t="b">
        <v>0</v>
      </c>
    </row>
    <row r="62" spans="1:6" ht="14.4" hidden="1" customHeight="1" outlineLevel="2">
      <c r="A62" s="29"/>
      <c r="B62" s="29"/>
      <c r="C62" s="92" t="s">
        <v>45</v>
      </c>
      <c r="D62" s="61" t="b">
        <v>0</v>
      </c>
      <c r="E62" s="61" t="b">
        <v>0</v>
      </c>
      <c r="F62" s="61" t="b">
        <v>0</v>
      </c>
    </row>
    <row r="63" spans="1:6" ht="14.4" hidden="1" customHeight="1" outlineLevel="2">
      <c r="A63" s="29"/>
      <c r="B63" s="29"/>
      <c r="C63" s="92" t="s">
        <v>22</v>
      </c>
      <c r="D63" s="61" t="b">
        <v>0</v>
      </c>
      <c r="E63" s="61" t="b">
        <v>0</v>
      </c>
      <c r="F63" s="61" t="b">
        <v>0</v>
      </c>
    </row>
    <row r="64" spans="1:6" ht="14.4" hidden="1" customHeight="1" outlineLevel="2">
      <c r="B64" s="1"/>
      <c r="C64" s="93" t="s">
        <v>23</v>
      </c>
      <c r="D64" s="61" t="b">
        <v>0</v>
      </c>
      <c r="E64" s="61" t="b">
        <v>0</v>
      </c>
      <c r="F64" s="61" t="b">
        <v>0</v>
      </c>
    </row>
    <row r="65" spans="1:6" ht="4.95" hidden="1" customHeight="1" outlineLevel="2">
      <c r="B65" s="14"/>
      <c r="D65" s="6"/>
      <c r="E65" s="6"/>
      <c r="F65" s="6"/>
    </row>
    <row r="66" spans="1:6" ht="19.95" customHeight="1" outlineLevel="1" collapsed="1">
      <c r="A66" s="29"/>
      <c r="B66" s="89" t="s">
        <v>0</v>
      </c>
      <c r="C66" s="91" t="s">
        <v>50</v>
      </c>
      <c r="D66" s="6"/>
      <c r="E66" s="6"/>
      <c r="F66" s="6"/>
    </row>
    <row r="67" spans="1:6" ht="4.95" customHeight="1">
      <c r="A67" s="29"/>
      <c r="B67" s="7"/>
      <c r="C67" s="8"/>
      <c r="D67" s="6"/>
      <c r="E67" s="6"/>
      <c r="F67" s="6"/>
    </row>
    <row r="68" spans="1:6" ht="14.4" hidden="1" customHeight="1" outlineLevel="2">
      <c r="A68" s="29"/>
      <c r="B68" s="29"/>
      <c r="C68" s="33" t="str">
        <f>IF(COUNTIF(FieldList1, "&lt;&gt;FALSE") = 0,"",SUBSTITUTE(LOWER(C57)," ","_") &amp;" = ")</f>
        <v/>
      </c>
      <c r="D68" s="32" t="str">
        <f>IF(COUNTIF(FieldList1, "&lt;&gt;FALSE") = 0,"","['"&amp;_xlfn.TEXTJOIN("', '", TRUE, _xlfn._xlws.FILTER(FieldRange,FieldList1&lt;&gt; FALSE, ""))&amp;"']")</f>
        <v/>
      </c>
    </row>
    <row r="69" spans="1:6" ht="14.4" hidden="1" customHeight="1" outlineLevel="2">
      <c r="A69" s="29"/>
      <c r="B69" s="29"/>
      <c r="C69" s="33" t="str">
        <f>IF(COUNTIF(FieldList2, "&lt;&gt;FALSE") = 0,"",SUBSTITUTE(LOWER(C58)," ","_")&amp;" = ")</f>
        <v/>
      </c>
      <c r="D69" s="32" t="str">
        <f>IF(COUNTIF(FieldList2, "&lt;&gt;FALSE") = 0,"","['"&amp;_xlfn.TEXTJOIN("', '", TRUE, _xlfn._xlws.FILTER(FieldRange,FieldList2&lt;&gt; FALSE, ""))&amp;"']")</f>
        <v/>
      </c>
    </row>
    <row r="70" spans="1:6" ht="14.4" hidden="1" customHeight="1" outlineLevel="2">
      <c r="A70" s="29"/>
      <c r="B70" s="29"/>
      <c r="C70" s="33" t="str">
        <f>IF(COUNTIF(FieldList3, "&lt;&gt;FALSE") = 0,"",SUBSTITUTE(LOWER(C59)," ","_")&amp;" = ")</f>
        <v/>
      </c>
      <c r="D70" s="32" t="str">
        <f>IF(COUNTIF(FieldList3, "&lt;&gt;FALSE") = 0,"","['"&amp;_xlfn.TEXTJOIN("', '", TRUE, _xlfn._xlws.FILTER(FieldRange,FieldList3&lt;&gt; FALSE, ""))&amp;"']")</f>
        <v/>
      </c>
    </row>
    <row r="71" spans="1:6" ht="14.4" hidden="1" customHeight="1" outlineLevel="2">
      <c r="A71" s="29"/>
      <c r="B71" s="29"/>
      <c r="C71" s="33" t="str">
        <f>IF(COUNTIF(FieldList4, "&lt;&gt;FALSE") = 0,"",SUBSTITUTE(LOWER(C60)," ","_")&amp;" = ")</f>
        <v/>
      </c>
      <c r="D71" s="32" t="str">
        <f>IF(COUNTIF(FieldList4, "&lt;&gt;FALSE") = 0,"","['"&amp;_xlfn.TEXTJOIN("', '", TRUE, _xlfn._xlws.FILTER(FieldRange,FieldList4&lt;&gt; FALSE, ""))&amp;"']")</f>
        <v/>
      </c>
    </row>
    <row r="72" spans="1:6" ht="14.4" hidden="1" customHeight="1" outlineLevel="2">
      <c r="A72" s="29"/>
      <c r="B72" s="29"/>
      <c r="C72" s="33" t="str">
        <f>IF(COUNTIF(FieldList5, "&lt;&gt;FALSE") = 0,"",SUBSTITUTE(LOWER(C61)," ","_")&amp;" = ")</f>
        <v/>
      </c>
      <c r="D72" s="32" t="str">
        <f>IF(COUNTIF(FieldList5, "&lt;&gt;FALSE") = 0,"","['"&amp;_xlfn.TEXTJOIN("', '", TRUE, _xlfn._xlws.FILTER(FieldRange,FieldList5&lt;&gt; FALSE, ""))&amp;"']")</f>
        <v/>
      </c>
    </row>
    <row r="73" spans="1:6" ht="13.8" hidden="1" customHeight="1" outlineLevel="2">
      <c r="A73" s="29"/>
      <c r="B73" s="29"/>
      <c r="C73" s="33" t="str">
        <f>IF(COUNTIF(FieldList6, "&lt;&gt;FALSE") = 0,"",SUBSTITUTE(LOWER(C62)," ","_")&amp;" = ")</f>
        <v/>
      </c>
      <c r="D73" s="32" t="str">
        <f>IF(COUNTIF(FieldList6, "&lt;&gt;FALSE") = 0,"","['"&amp;_xlfn.TEXTJOIN("', '", TRUE, _xlfn._xlws.FILTER(FieldRange,FieldList6&lt;&gt; FALSE, ""))&amp;"']")</f>
        <v/>
      </c>
    </row>
    <row r="74" spans="1:6" ht="13.8" hidden="1" customHeight="1" outlineLevel="2">
      <c r="A74" s="29"/>
      <c r="B74" s="29"/>
      <c r="C74" s="33" t="str">
        <f>IF(COUNTIF(FieldList7, "&lt;&gt;FALSE") = 0,"",SUBSTITUTE(LOWER(C63)," ","_")&amp;" = ")</f>
        <v/>
      </c>
      <c r="D74" s="32" t="str" cm="1">
        <f t="array" ref="D74">IF(COUNTIF(FieldList7, "&lt;&gt;FALSE") = 0,"","['"&amp;_xlfn.TEXTJOIN("', '", TRUE, _xlfn._xlws.FILTER(FieldRange,FieldList7&lt;&gt; FALSE, ""))&amp;"']")</f>
        <v/>
      </c>
    </row>
    <row r="75" spans="1:6" ht="13.8" hidden="1" customHeight="1" outlineLevel="2">
      <c r="A75" s="29"/>
      <c r="B75" s="29"/>
      <c r="C75" s="33" t="str">
        <f>IF(COUNTIF(FieldList8, "&lt;&gt;FALSE") = 0,"",SUBSTITUTE(LOWER(C64)," ","_")&amp;" = ")</f>
        <v/>
      </c>
      <c r="D75" s="32" t="str" cm="1">
        <f t="array" ref="D75">IF(COUNTIF(FieldList8, "&lt;&gt;FALSE") = 0,"","['"&amp;_xlfn.TEXTJOIN("', '", TRUE, _xlfn._xlws.FILTER(FieldRange,FieldList8&lt;&gt; FALSE, ""))&amp;"']")</f>
        <v/>
      </c>
    </row>
    <row r="76" spans="1:6" ht="14.4" hidden="1" customHeight="1" outlineLevel="2">
      <c r="B76" s="25"/>
      <c r="C76" s="43" t="str">
        <f>IF(COUNTIF(tbl_SourceData[Record List], "&lt;&gt;FALSE") = 0,"",SUBSTITUTE(LOWER(LightHeader)," ", "_") &amp;" = ")</f>
        <v/>
      </c>
      <c r="D76" s="32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" ht="4.95" hidden="1" customHeight="1" outlineLevel="2">
      <c r="B77" s="14"/>
      <c r="C77" s="26"/>
      <c r="D77" s="27"/>
      <c r="E77" s="27"/>
      <c r="F77" s="27"/>
    </row>
    <row r="78" spans="1:6" ht="30" customHeight="1" collapsed="1">
      <c r="C78" s="104" t="s">
        <v>21</v>
      </c>
      <c r="D78" s="28" t="s">
        <v>47</v>
      </c>
      <c r="E78" s="28" t="s">
        <v>20</v>
      </c>
      <c r="F78" s="28" t="s">
        <v>56</v>
      </c>
    </row>
    <row r="79" spans="1:6">
      <c r="C79" s="30" t="b">
        <v>0</v>
      </c>
      <c r="D79" s="31"/>
      <c r="E79" s="31"/>
      <c r="F79" s="31"/>
    </row>
    <row r="80" spans="1:6">
      <c r="C80" s="30" t="b">
        <v>0</v>
      </c>
      <c r="D80" s="31"/>
      <c r="E80" s="31"/>
      <c r="F80" s="31"/>
    </row>
  </sheetData>
  <mergeCells count="1">
    <mergeCell ref="D15:E15"/>
  </mergeCells>
  <phoneticPr fontId="15" type="noConversion"/>
  <conditionalFormatting sqref="D22:F29 D35:F39 D45:F53">
    <cfRule type="cellIs" dxfId="12" priority="53" operator="equal">
      <formula>0</formula>
    </cfRule>
  </conditionalFormatting>
  <conditionalFormatting sqref="C79:C80">
    <cfRule type="cellIs" dxfId="11" priority="49" operator="equal">
      <formula>FALSE</formula>
    </cfRule>
    <cfRule type="cellIs" dxfId="10" priority="50" operator="notEqual">
      <formula>FALSE</formula>
    </cfRule>
  </conditionalFormatting>
  <conditionalFormatting sqref="D9:F9">
    <cfRule type="cellIs" dxfId="9" priority="23" operator="notEqual">
      <formula>"Notes"</formula>
    </cfRule>
  </conditionalFormatting>
  <conditionalFormatting sqref="D23:F25">
    <cfRule type="colorScale" priority="44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8" priority="24"/>
  </conditionalFormatting>
  <conditionalFormatting sqref="D7:F7">
    <cfRule type="cellIs" dxfId="7" priority="17" operator="notEqual">
      <formula>"Definition"</formula>
    </cfRule>
  </conditionalFormatting>
  <conditionalFormatting sqref="D15">
    <cfRule type="cellIs" dxfId="6" priority="8" operator="notEqual">
      <formula>"Description"</formula>
    </cfRule>
  </conditionalFormatting>
  <conditionalFormatting sqref="D17">
    <cfRule type="colorScale" priority="7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5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5" priority="47" operator="equal">
      <formula>FALSE</formula>
    </cfRule>
    <cfRule type="cellIs" dxfId="4" priority="48" operator="notEqual">
      <formula>FALSE</formula>
    </cfRule>
  </conditionalFormatting>
  <hyperlinks>
    <hyperlink ref="F3" r:id="rId1" display="https://github.com/InfoDesigner/xleda/" xr:uid="{392F1DDD-3F2F-42AF-A8E9-3E02D9348208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60" t="s">
        <v>24</v>
      </c>
      <c r="P2" s="115" t="e" vm="1">
        <v>#VALUE!</v>
      </c>
    </row>
    <row r="3" spans="1:16" ht="4.95" customHeight="1">
      <c r="B3" s="1"/>
      <c r="C3" s="4"/>
      <c r="P3" s="114"/>
    </row>
    <row r="4" spans="1:16" ht="19.95" customHeight="1">
      <c r="B4" s="1"/>
      <c r="C4" s="4"/>
      <c r="P4" s="116" t="s">
        <v>57</v>
      </c>
    </row>
    <row r="5" spans="1:16" ht="4.95" customHeight="1">
      <c r="B5" s="1"/>
      <c r="C5" s="4"/>
    </row>
    <row r="6" spans="1:16" ht="34.950000000000003" customHeight="1">
      <c r="B6" s="71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hyperlinks>
    <hyperlink ref="P2" r:id="rId1" display="https://github.com/InfoDesigner/xleda/" xr:uid="{35AA3177-B048-4E7F-B692-DE7A9F5A2396}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B5" sqref="B5"/>
      <selection pane="topRight" activeCell="B5" sqref="B5"/>
      <selection pane="bottomLeft" activeCell="B5" sqref="B5"/>
      <selection pane="bottomRight" activeCell="C9" sqref="C9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2"/>
      <c r="C2" s="60" t="s">
        <v>31</v>
      </c>
      <c r="D2" s="119"/>
      <c r="P2" s="115" t="e" vm="1">
        <v>#VALUE!</v>
      </c>
    </row>
    <row r="3" spans="2:16" ht="4.95" customHeight="1">
      <c r="B3" s="42"/>
      <c r="C3" s="117"/>
      <c r="D3" s="118"/>
      <c r="P3" s="114"/>
    </row>
    <row r="4" spans="2:16" ht="19.95" customHeight="1">
      <c r="B4" s="42"/>
      <c r="C4" s="117"/>
      <c r="D4" s="118"/>
      <c r="P4" s="116" t="s">
        <v>57</v>
      </c>
    </row>
    <row r="5" spans="2:16" ht="4.95" customHeight="1">
      <c r="B5" s="1"/>
      <c r="C5" s="4"/>
    </row>
    <row r="6" spans="2:16" s="5" customFormat="1" ht="30" customHeight="1">
      <c r="B6" s="71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2" priority="4" operator="equal">
      <formula>0</formula>
    </cfRule>
  </conditionalFormatting>
  <conditionalFormatting sqref="D2:D4">
    <cfRule type="cellIs" dxfId="1" priority="1" operator="equal">
      <formula>"Notes"</formula>
    </cfRule>
    <cfRule type="cellIs" dxfId="0" priority="2" operator="equal">
      <formula>"Notes"</formula>
    </cfRule>
  </conditionalFormatting>
  <hyperlinks>
    <hyperlink ref="P2" r:id="rId1" display="https://github.com/InfoDesigner/xleda/" xr:uid="{467C3531-E8E6-4B11-9FC9-25A4F1DCB351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2026-05-20T23:03:22Z</dcterms:modified>
</cp:coreProperties>
</file>