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src\xleda\"/>
    </mc:Choice>
  </mc:AlternateContent>
  <xr:revisionPtr revIDLastSave="0" documentId="13_ncr:1_{B57CA83C-218D-4072-9EF9-77986E549EE2}" xr6:coauthVersionLast="47" xr6:coauthVersionMax="47" xr10:uidLastSave="{00000000-0000-0000-0000-000000000000}"/>
  <bookViews>
    <workbookView xWindow="-108" yWindow="-108" windowWidth="23256" windowHeight="12456" tabRatio="537" xr2:uid="{00000000-000D-0000-FFFF-FFFF00000000}"/>
  </bookViews>
  <sheets>
    <sheet name="Field Analysis" sheetId="3" r:id="rId1"/>
    <sheet name="MultivariatePlots" sheetId="4" state="hidden" r:id="rId2"/>
    <sheet name="UnivariatePlots" sheetId="6" state="hidden" r:id="rId3"/>
    <sheet name="xlwings.conf" sheetId="2" state="hidden" r:id="rId4"/>
  </sheets>
  <functionGroups builtInGroupCount="19">
    <functionGroup name="xlwings Lite"/>
  </functionGroups>
  <definedNames>
    <definedName name="ActionLists">'Field Analysis'!$E$55:$E$62</definedName>
    <definedName name="Actions">'Field Analysis'!$D$46:$D$51</definedName>
    <definedName name="Composition">'Field Analysis'!$E$15:$E$21</definedName>
    <definedName name="CompositionTable">'Field Analysis'!$E$20</definedName>
    <definedName name="CompositionTable_Start">'Field Analysis'!$E$20</definedName>
    <definedName name="DarkHeader">'Field Analysis'!$E$63</definedName>
    <definedName name="Dimensions">'Field Analysis'!$D$4</definedName>
    <definedName name="Field_Action_Lists">'Field Analysis'!$D$55:$D$61</definedName>
    <definedName name="Field_Actions">'Field Analysis'!$D$46:$E$52</definedName>
    <definedName name="Field_Analysis">'Field Analysis'!$E$8:$E$62</definedName>
    <definedName name="FieldAction1">'Field Analysis'!$E$46:$F$46</definedName>
    <definedName name="FieldAction2">'Field Analysis'!$E$47:$F$47</definedName>
    <definedName name="FieldAction3">'Field Analysis'!$E$48:$F$48</definedName>
    <definedName name="FieldAction4">'Field Analysis'!$E$49:$F$49</definedName>
    <definedName name="FieldAction5">'Field Analysis'!$E$50:$F$50</definedName>
    <definedName name="FieldAction6">'Field Analysis'!$E$51:$F$51</definedName>
    <definedName name="FieldAnalysisTheme">'Field Analysis'!$C$6:$E$6,'Field Analysis'!$D$63</definedName>
    <definedName name="FieldRange">'Field Analysis'!$E$63:$E$63</definedName>
    <definedName name="Fields">_xlfn.CHOOSECOLS(tbl_SourceData[#Headers], _xlfn.SEQUENCE(1, COLUMNS(tbl_SourceData[#Headers])-2, 2))</definedName>
    <definedName name="FormatRange">'Field Analysis'!$F:$F</definedName>
    <definedName name="Headers_Start">'Field Analysis'!$E$6</definedName>
    <definedName name="Histogram">'Field Analysis'!$E$30</definedName>
    <definedName name="LightHeader">'Field Analysis'!$D$63</definedName>
    <definedName name="MvPlotRange">MultivariatePlots!$D$6</definedName>
    <definedName name="MvTitle">MultivariatePlots!$D$4</definedName>
    <definedName name="Notes">'Field Analysis'!$E$3:$E$3</definedName>
    <definedName name="Overview">'Field Analysis'!$E$8:$E$12</definedName>
    <definedName name="Percentiles">'Field Analysis'!$E$34:$E$43</definedName>
    <definedName name="Summary_Stats">'Field Analysis'!$E$24:$E$31</definedName>
    <definedName name="UvHeader">UnivariatePlots!$E$4</definedName>
    <definedName name="UvPlotRange">UnivariatePlots!$E$7</definedName>
    <definedName name="UvTitle">UnivariatePlots!$D$2</definedName>
    <definedName name="Warning">'Field Analysis'!$D$1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61" i="3" l="1"/>
  <c r="D60" i="3"/>
  <c r="D59" i="3"/>
  <c r="D58" i="3"/>
  <c r="D57" i="3"/>
  <c r="D56" i="3"/>
  <c r="D55" i="3"/>
  <c r="E59" i="3"/>
  <c r="E58" i="3"/>
  <c r="E57" i="3"/>
  <c r="E56" i="3"/>
  <c r="E55" i="3"/>
  <c r="E60" i="3"/>
  <c r="E61" i="3" a="1"/>
  <c r="E6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<sst xmlns="http://schemas.openxmlformats.org/spreadsheetml/2006/main" count="54" uniqueCount="45">
  <si>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</si>
  <si>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</si>
  <si>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</si>
  <si>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</si>
  <si>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</si>
  <si>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</si>
  <si>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</si>
  <si>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</si>
  <si>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</si>
  <si>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</si>
  <si>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</si>
  <si>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</si>
  <si>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</si>
  <si>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</si>
  <si>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</si>
  <si>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</si>
  <si>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</si>
  <si>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</si>
  <si>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</si>
  <si>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</si>
  <si>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</si>
  <si>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</si>
  <si>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</si>
  <si>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</si>
  <si>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</si>
  <si>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</si>
  <si>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</si>
  <si>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</si>
  <si>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</si>
  <si>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</si>
  <si>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</si>
  <si>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</si>
  <si>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</si>
  <si>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</si>
  <si>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Remove Field</t>
  </si>
  <si>
    <t>Clean Outliers</t>
  </si>
  <si>
    <t>Dummy Encode</t>
  </si>
  <si>
    <t>Ordinal Encode</t>
  </si>
  <si>
    <t>Standard Scale</t>
  </si>
  <si>
    <t>Record Hash</t>
  </si>
  <si>
    <t>D:\Python\.ExcelDataDiscovery\.venv\Scripts\python.exe</t>
  </si>
  <si>
    <t>Mark for Removal</t>
  </si>
  <si>
    <t>Dark Header</t>
  </si>
  <si>
    <t>This is only showing a sample because it is larger than the limits of 100,000 rows/100 columns</t>
  </si>
  <si>
    <t>Target Field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</si>
</sst>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(* #,##0.00_);_(* \(#,##0.00\);_(* &quot;-&quot;??_);_(@_)"/>
  </numFmts>
  <fonts count="24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10"/>
      <color theme="0"/>
      <name val="Calibri"/>
      <family val="2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5347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/>
      <top style="thin">
        <color theme="1" tint="0.249977111117893"/>
      </top>
      <bottom/>
      <diagonal/>
    </border>
    <border>
      <left style="thin">
        <color theme="1" tint="0.249977111117893"/>
      </left>
      <right style="thin">
        <color theme="1" tint="0.249977111117893"/>
      </right>
      <top/>
      <bottom style="thin">
        <color theme="1" tint="0.249977111117893"/>
      </bottom>
      <diagonal/>
    </border>
  </borders>
  <cellStyleXfs count="4">
    <xf numFmtId="0" fontId="0" fillId="2" borderId="0"/>
    <xf numFmtId="0" fontId="3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0">
    <xf numFmtId="0" fontId="0" fillId="2" borderId="0" xfId="0"/>
    <xf numFmtId="0" fontId="0" fillId="2" borderId="0" xfId="0" applyAlignment="1">
      <alignment vertical="center"/>
    </xf>
    <xf numFmtId="0" fontId="2" fillId="2" borderId="0" xfId="0" applyFont="1" applyAlignment="1">
      <alignment vertical="center"/>
    </xf>
    <xf numFmtId="0" fontId="3" fillId="2" borderId="0" xfId="1"/>
    <xf numFmtId="0" fontId="3" fillId="2" borderId="0" xfId="1" applyAlignment="1">
      <alignment textRotation="180"/>
    </xf>
    <xf numFmtId="0" fontId="3" fillId="2" borderId="0" xfId="1" applyAlignment="1">
      <alignment horizontal="center" vertical="center" textRotation="180"/>
    </xf>
    <xf numFmtId="0" fontId="5" fillId="2" borderId="0" xfId="1" applyFont="1" applyAlignment="1">
      <alignment horizontal="right" vertical="center" indent="1"/>
    </xf>
    <xf numFmtId="0" fontId="6" fillId="2" borderId="1" xfId="1" applyFont="1" applyBorder="1" applyAlignment="1">
      <alignment horizontal="left" vertical="center" wrapText="1" indent="1"/>
    </xf>
    <xf numFmtId="0" fontId="7" fillId="2" borderId="0" xfId="1" applyFont="1" applyAlignment="1">
      <alignment horizontal="right" vertical="center" indent="7"/>
    </xf>
    <xf numFmtId="0" fontId="4" fillId="3" borderId="3" xfId="1" applyFont="1" applyFill="1" applyBorder="1" applyAlignment="1">
      <alignment wrapText="1"/>
    </xf>
    <xf numFmtId="0" fontId="8" fillId="3" borderId="4" xfId="1" applyFont="1" applyFill="1" applyBorder="1" applyAlignment="1">
      <alignment horizontal="center" vertical="center" wrapText="1"/>
    </xf>
    <xf numFmtId="0" fontId="8" fillId="4" borderId="0" xfId="1" applyFont="1" applyFill="1" applyAlignment="1">
      <alignment horizontal="center" vertical="center" wrapText="1"/>
    </xf>
    <xf numFmtId="0" fontId="4" fillId="2" borderId="0" xfId="1" applyFont="1"/>
    <xf numFmtId="0" fontId="9" fillId="2" borderId="0" xfId="1" applyFont="1" applyAlignment="1">
      <alignment horizontal="right" vertical="center"/>
    </xf>
    <xf numFmtId="0" fontId="4" fillId="2" borderId="0" xfId="1" applyFont="1" applyAlignment="1">
      <alignment horizontal="right" vertical="center"/>
    </xf>
    <xf numFmtId="0" fontId="3" fillId="2" borderId="0" xfId="1" applyAlignment="1">
      <alignment horizontal="right"/>
    </xf>
    <xf numFmtId="0" fontId="10" fillId="2" borderId="0" xfId="1" applyFont="1" applyAlignment="1">
      <alignment horizontal="right"/>
    </xf>
    <xf numFmtId="0" fontId="11" fillId="5" borderId="5" xfId="1" applyFont="1" applyFill="1" applyBorder="1" applyAlignment="1">
      <alignment horizontal="right" wrapText="1"/>
    </xf>
    <xf numFmtId="3" fontId="7" fillId="5" borderId="6" xfId="2" applyNumberFormat="1" applyFont="1" applyFill="1" applyBorder="1" applyAlignment="1">
      <alignment horizontal="center" vertical="center" wrapText="1"/>
    </xf>
    <xf numFmtId="0" fontId="12" fillId="2" borderId="0" xfId="1" applyFont="1" applyAlignment="1">
      <alignment horizontal="right"/>
    </xf>
    <xf numFmtId="0" fontId="11" fillId="5" borderId="7" xfId="1" applyFont="1" applyFill="1" applyBorder="1" applyAlignment="1">
      <alignment horizontal="right" wrapText="1"/>
    </xf>
    <xf numFmtId="0" fontId="11" fillId="6" borderId="7" xfId="1" applyFont="1" applyFill="1" applyBorder="1" applyAlignment="1">
      <alignment horizontal="right" wrapText="1"/>
    </xf>
    <xf numFmtId="0" fontId="7" fillId="5" borderId="6" xfId="1" applyFont="1" applyFill="1" applyBorder="1" applyAlignment="1">
      <alignment horizontal="center" wrapText="1"/>
    </xf>
    <xf numFmtId="0" fontId="11" fillId="6" borderId="8" xfId="1" applyFont="1" applyFill="1" applyBorder="1" applyAlignment="1">
      <alignment horizontal="right" wrapText="1"/>
    </xf>
    <xf numFmtId="0" fontId="10" fillId="2" borderId="0" xfId="1" applyFont="1" applyAlignment="1">
      <alignment horizontal="right" vertical="top" textRotation="180"/>
    </xf>
    <xf numFmtId="0" fontId="13" fillId="2" borderId="0" xfId="1" applyFont="1" applyAlignment="1">
      <alignment horizontal="right" vertical="center"/>
    </xf>
    <xf numFmtId="0" fontId="4" fillId="2" borderId="1" xfId="1" applyFont="1" applyBorder="1" applyAlignment="1">
      <alignment vertical="top" wrapText="1"/>
    </xf>
    <xf numFmtId="0" fontId="3" fillId="2" borderId="0" xfId="1" applyAlignment="1">
      <alignment horizontal="right" textRotation="180"/>
    </xf>
    <xf numFmtId="0" fontId="3" fillId="2" borderId="0" xfId="1" applyAlignment="1">
      <alignment vertical="top"/>
    </xf>
    <xf numFmtId="0" fontId="10" fillId="2" borderId="0" xfId="1" applyFont="1" applyAlignment="1">
      <alignment horizontal="right" vertical="top"/>
    </xf>
    <xf numFmtId="0" fontId="11" fillId="2" borderId="0" xfId="1" applyFont="1" applyAlignment="1">
      <alignment horizontal="right" vertical="top"/>
    </xf>
    <xf numFmtId="2" fontId="7" fillId="5" borderId="6" xfId="1" applyNumberFormat="1" applyFont="1" applyFill="1" applyBorder="1" applyAlignment="1">
      <alignment horizontal="center" wrapText="1"/>
    </xf>
    <xf numFmtId="0" fontId="7" fillId="6" borderId="6" xfId="1" applyFont="1" applyFill="1" applyBorder="1" applyAlignment="1">
      <alignment horizontal="center" wrapText="1"/>
    </xf>
    <xf numFmtId="2" fontId="7" fillId="6" borderId="6" xfId="1" applyNumberFormat="1" applyFont="1" applyFill="1" applyBorder="1" applyAlignment="1">
      <alignment horizontal="center" wrapText="1"/>
    </xf>
    <xf numFmtId="0" fontId="11" fillId="5" borderId="8" xfId="1" applyFont="1" applyFill="1" applyBorder="1" applyAlignment="1">
      <alignment horizontal="right" wrapText="1"/>
    </xf>
    <xf numFmtId="0" fontId="4" fillId="2" borderId="0" xfId="1" applyFont="1" applyAlignment="1">
      <alignment vertical="top"/>
    </xf>
    <xf numFmtId="0" fontId="11" fillId="6" borderId="5" xfId="1" applyFont="1" applyFill="1" applyBorder="1" applyAlignment="1">
      <alignment horizontal="right" wrapText="1"/>
    </xf>
    <xf numFmtId="9" fontId="11" fillId="5" borderId="7" xfId="1" applyNumberFormat="1" applyFont="1" applyFill="1" applyBorder="1" applyAlignment="1">
      <alignment horizontal="right" wrapText="1"/>
    </xf>
    <xf numFmtId="9" fontId="11" fillId="6" borderId="7" xfId="1" applyNumberFormat="1" applyFont="1" applyFill="1" applyBorder="1" applyAlignment="1">
      <alignment horizontal="right" wrapText="1"/>
    </xf>
    <xf numFmtId="0" fontId="11" fillId="6" borderId="9" xfId="1" applyFont="1" applyFill="1" applyBorder="1" applyAlignment="1">
      <alignment horizontal="right" wrapText="1"/>
    </xf>
    <xf numFmtId="0" fontId="7" fillId="7" borderId="10" xfId="1" applyFont="1" applyFill="1" applyBorder="1" applyAlignment="1">
      <alignment horizontal="center"/>
    </xf>
    <xf numFmtId="0" fontId="7" fillId="7" borderId="6" xfId="1" applyFont="1" applyFill="1" applyBorder="1" applyAlignment="1">
      <alignment horizontal="center"/>
    </xf>
    <xf numFmtId="0" fontId="10" fillId="2" borderId="0" xfId="1" applyFont="1" applyAlignment="1">
      <alignment horizontal="right" vertical="center" textRotation="180"/>
    </xf>
    <xf numFmtId="0" fontId="11" fillId="2" borderId="11" xfId="1" applyFont="1" applyBorder="1" applyAlignment="1">
      <alignment horizontal="right" vertical="top"/>
    </xf>
    <xf numFmtId="0" fontId="3" fillId="2" borderId="0" xfId="1" applyAlignment="1">
      <alignment vertical="top" wrapText="1"/>
    </xf>
    <xf numFmtId="0" fontId="11" fillId="3" borderId="12" xfId="1" applyFont="1" applyFill="1" applyBorder="1" applyAlignment="1">
      <alignment horizontal="center" vertical="center"/>
    </xf>
    <xf numFmtId="0" fontId="8" fillId="4" borderId="13" xfId="1" applyFont="1" applyFill="1" applyBorder="1" applyAlignment="1">
      <alignment horizontal="center" vertical="center" wrapText="1"/>
    </xf>
    <xf numFmtId="0" fontId="3" fillId="2" borderId="0" xfId="1" applyAlignment="1"/>
    <xf numFmtId="0" fontId="7" fillId="4" borderId="10" xfId="1" applyFont="1" applyFill="1" applyBorder="1" applyAlignment="1">
      <alignment horizontal="center"/>
    </xf>
    <xf numFmtId="0" fontId="3" fillId="4" borderId="0" xfId="1" applyFill="1"/>
    <xf numFmtId="0" fontId="15" fillId="2" borderId="0" xfId="1" applyFont="1"/>
    <xf numFmtId="0" fontId="14" fillId="6" borderId="9" xfId="1" applyFont="1" applyFill="1" applyBorder="1" applyAlignment="1">
      <alignment horizontal="right"/>
    </xf>
    <xf numFmtId="0" fontId="14" fillId="6" borderId="14" xfId="1" applyFont="1" applyFill="1" applyBorder="1" applyAlignment="1">
      <alignment horizontal="right"/>
    </xf>
    <xf numFmtId="0" fontId="18" fillId="2" borderId="0" xfId="1" applyFont="1" applyAlignment="1">
      <alignment horizontal="center"/>
    </xf>
    <xf numFmtId="3" fontId="7" fillId="5" borderId="15" xfId="2" applyNumberFormat="1" applyFont="1" applyFill="1" applyBorder="1" applyAlignment="1">
      <alignment horizontal="center" vertical="center" wrapText="1"/>
    </xf>
    <xf numFmtId="0" fontId="4" fillId="2" borderId="0" xfId="1" applyFont="1" applyBorder="1"/>
    <xf numFmtId="0" fontId="4" fillId="2" borderId="0" xfId="1" applyFont="1" applyAlignment="1">
      <alignment vertical="center"/>
    </xf>
    <xf numFmtId="0" fontId="11" fillId="2" borderId="0" xfId="1" applyFont="1" applyAlignment="1">
      <alignment horizontal="right" vertical="center"/>
    </xf>
    <xf numFmtId="0" fontId="7" fillId="2" borderId="0" xfId="1" applyFont="1" applyAlignment="1">
      <alignment horizontal="right" vertical="center"/>
    </xf>
    <xf numFmtId="9" fontId="7" fillId="6" borderId="6" xfId="3" applyFont="1" applyFill="1" applyBorder="1" applyAlignment="1">
      <alignment horizontal="center" vertical="center" wrapText="1"/>
    </xf>
    <xf numFmtId="0" fontId="3" fillId="3" borderId="2" xfId="1" applyFill="1" applyBorder="1" applyAlignment="1"/>
    <xf numFmtId="0" fontId="17" fillId="8" borderId="0" xfId="1" applyFont="1" applyFill="1" applyAlignment="1">
      <alignment vertical="center"/>
    </xf>
    <xf numFmtId="0" fontId="17" fillId="8" borderId="0" xfId="1" applyFont="1" applyFill="1" applyAlignment="1">
      <alignment vertical="center" textRotation="180"/>
    </xf>
    <xf numFmtId="0" fontId="19" fillId="8" borderId="0" xfId="1" applyFont="1" applyFill="1" applyAlignment="1">
      <alignment vertical="center"/>
    </xf>
    <xf numFmtId="0" fontId="17" fillId="2" borderId="0" xfId="1" applyFont="1" applyAlignment="1">
      <alignment vertical="center"/>
    </xf>
    <xf numFmtId="0" fontId="3" fillId="2" borderId="0" xfId="1" applyAlignment="1">
      <alignment horizontal="center" vertical="center"/>
    </xf>
    <xf numFmtId="0" fontId="21" fillId="2" borderId="0" xfId="1" applyFont="1" applyAlignment="1">
      <alignment horizontal="right" vertical="center" indent="7"/>
    </xf>
    <xf numFmtId="0" fontId="22" fillId="2" borderId="1" xfId="1" applyFont="1" applyBorder="1" applyAlignment="1">
      <alignment horizontal="left" vertical="center" wrapText="1" indent="1"/>
    </xf>
    <xf numFmtId="0" fontId="23" fillId="2" borderId="0" xfId="1" applyFont="1" applyAlignment="1">
      <alignment horizontal="right" vertical="center" indent="7"/>
    </xf>
    <xf numFmtId="0" fontId="20" fillId="3" borderId="3" xfId="1" applyFont="1" applyFill="1" applyBorder="1" applyAlignment="1">
      <alignment horizontal="left" vertical="center" wrapText="1"/>
    </xf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24"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23"/>
      <tableStyleElement type="headerRow" dxfId="22"/>
      <tableStyleElement type="totalRow" dxfId="21"/>
      <tableStyleElement type="firstColumn" dxfId="20"/>
      <tableStyleElement type="lastColumn" dxfId="19"/>
      <tableStyleElement type="firstRowStripe" dxfId="18"/>
      <tableStyleElement type="secondRowStripe" dxfId="17"/>
      <tableStyleElement type="firstColumnStripe" dxfId="16"/>
    </tableStyle>
  </tableStyles>
  <colors>
    <mruColors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124968</xdr:colOff>
      <xdr:row>2</xdr:row>
      <xdr:rowOff>32766</xdr:rowOff>
    </xdr:from>
    <xdr:to>
      <xdr:col>3</xdr:col>
      <xdr:colOff>2374392</xdr:colOff>
      <xdr:row>2</xdr:row>
      <xdr:rowOff>622554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742188" y="383286"/>
          <a:ext cx="2249424" cy="58978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400" b="1"/>
            <a:t>Field Analysis</a:t>
          </a:r>
        </a:p>
      </xdr:txBody>
    </xdr:sp>
    <xdr:clientData/>
  </xdr:twoCellAnchor>
  <xdr:twoCellAnchor>
    <xdr:from>
      <xdr:col>3</xdr:col>
      <xdr:colOff>124968</xdr:colOff>
      <xdr:row>12</xdr:row>
      <xdr:rowOff>19050</xdr:rowOff>
    </xdr:from>
    <xdr:to>
      <xdr:col>3</xdr:col>
      <xdr:colOff>2374392</xdr:colOff>
      <xdr:row>12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3</xdr:col>
      <xdr:colOff>124968</xdr:colOff>
      <xdr:row>21</xdr:row>
      <xdr:rowOff>19050</xdr:rowOff>
    </xdr:from>
    <xdr:to>
      <xdr:col>3</xdr:col>
      <xdr:colOff>2374392</xdr:colOff>
      <xdr:row>21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3</xdr:col>
      <xdr:colOff>124968</xdr:colOff>
      <xdr:row>31</xdr:row>
      <xdr:rowOff>19050</xdr:rowOff>
    </xdr:from>
    <xdr:to>
      <xdr:col>3</xdr:col>
      <xdr:colOff>2374392</xdr:colOff>
      <xdr:row>31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3</xdr:col>
      <xdr:colOff>124968</xdr:colOff>
      <xdr:row>43</xdr:row>
      <xdr:rowOff>19050</xdr:rowOff>
    </xdr:from>
    <xdr:to>
      <xdr:col>3</xdr:col>
      <xdr:colOff>2374392</xdr:colOff>
      <xdr:row>43</xdr:row>
      <xdr:rowOff>361950</xdr:rowOff>
    </xdr:to>
    <xdr:sp macro="[0]!ToggleSection" textlink="">
      <xdr:nvSpPr>
        <xdr:cNvPr id="6" name="Field Action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Actions</a:t>
          </a:r>
        </a:p>
      </xdr:txBody>
    </xdr:sp>
    <xdr:clientData/>
  </xdr:twoCellAnchor>
  <xdr:twoCellAnchor>
    <xdr:from>
      <xdr:col>3</xdr:col>
      <xdr:colOff>124968</xdr:colOff>
      <xdr:row>52</xdr:row>
      <xdr:rowOff>19050</xdr:rowOff>
    </xdr:from>
    <xdr:to>
      <xdr:col>3</xdr:col>
      <xdr:colOff>2374392</xdr:colOff>
      <xdr:row>52</xdr:row>
      <xdr:rowOff>361950</xdr:rowOff>
    </xdr:to>
    <xdr:sp macro="[0]!ToggleSection" textlink="">
      <xdr:nvSpPr>
        <xdr:cNvPr id="7" name="Field Action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Action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Lists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D63:F66" totalsRowShown="0" dataDxfId="7">
  <autoFilter ref="D63:F66" xr:uid="{DB263373-2B4F-4302-9CF6-5012CE3F1A47}"/>
  <tableColumns count="3">
    <tableColumn id="1" xr3:uid="{B87F6371-B38F-4AA9-8A9B-F1D62600E38F}" name="Mark for Removal" dataDxfId="6" dataCellStyle="Normal 2"/>
    <tableColumn id="2" xr3:uid="{55547D6A-0C4F-44F3-8DA7-D9918F9ECA79}" name="Dark Header" dataDxfId="5"/>
    <tableColumn id="8" xr3:uid="{5CEA6B82-08F7-4BBF-BE74-DD211F1E2384}" name="Record Hash" dataDxfId="4" dataCellStyle="Normal 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J66"/>
  <sheetViews>
    <sheetView tabSelected="1" zoomScale="85" zoomScaleNormal="85" workbookViewId="0">
      <pane xSplit="4" ySplit="6" topLeftCell="E7" activePane="bottomRight" state="frozen"/>
      <selection activeCell="B1" sqref="B1"/>
      <selection pane="topRight" activeCell="F1" sqref="F1"/>
      <selection pane="bottomLeft" activeCell="B5" sqref="B5"/>
      <selection pane="bottomRight" activeCell="E6" sqref="E6"/>
    </sheetView>
  </sheetViews>
  <sheetFormatPr defaultRowHeight="14.4" outlineLevelRow="2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32.88671875" style="12" customWidth="1"/>
    <col min="5" max="6" width="27.77734375" style="3" customWidth="1"/>
    <col min="7" max="16384" width="8.88671875" style="3"/>
  </cols>
  <sheetData>
    <row r="1" spans="1:10" s="64" customFormat="1" ht="31.8" hidden="1" customHeight="1" x14ac:dyDescent="0.3">
      <c r="A1" s="61"/>
      <c r="B1" s="61"/>
      <c r="C1" s="62"/>
      <c r="D1" s="63" t="s">
        <v>43</v>
      </c>
      <c r="E1" s="61"/>
      <c r="F1" s="61"/>
      <c r="G1" s="61"/>
      <c r="H1" s="63"/>
      <c r="I1" s="61"/>
      <c r="J1" s="61"/>
    </row>
    <row r="3" spans="1:10" ht="51.6" customHeight="1" x14ac:dyDescent="0.3">
      <c r="C3" s="5" t="s">
        <v>14</v>
      </c>
      <c r="D3" s="6"/>
      <c r="E3" s="67" t="s">
        <v>15</v>
      </c>
      <c r="F3" s="67" t="s">
        <v>15</v>
      </c>
    </row>
    <row r="4" spans="1:10" ht="10.050000000000001" customHeight="1" x14ac:dyDescent="0.3">
      <c r="C4" s="47"/>
      <c r="D4" s="68"/>
    </row>
    <row r="5" spans="1:10" ht="10.050000000000001" customHeight="1" thickBot="1" x14ac:dyDescent="0.35">
      <c r="C5" s="3"/>
      <c r="D5" s="66"/>
    </row>
    <row r="6" spans="1:10" s="11" customFormat="1" ht="30" customHeight="1" thickBot="1" x14ac:dyDescent="0.35">
      <c r="B6" s="3"/>
      <c r="C6" s="60"/>
      <c r="D6" s="9" t="s">
        <v>16</v>
      </c>
      <c r="E6" s="10"/>
      <c r="F6" s="10"/>
    </row>
    <row r="7" spans="1:10" ht="10.050000000000001" customHeight="1" x14ac:dyDescent="0.3">
      <c r="C7" s="47"/>
      <c r="D7" s="8"/>
    </row>
    <row r="8" spans="1:10" s="56" customFormat="1" ht="14.4" customHeight="1" outlineLevel="2" x14ac:dyDescent="0.3">
      <c r="C8" s="57"/>
      <c r="D8" s="17" t="s">
        <v>17</v>
      </c>
      <c r="E8" s="54"/>
      <c r="F8" s="54"/>
    </row>
    <row r="9" spans="1:10" s="56" customFormat="1" ht="14.4" customHeight="1" outlineLevel="2" x14ac:dyDescent="0.3">
      <c r="C9" s="58"/>
      <c r="D9" s="20" t="s">
        <v>21</v>
      </c>
      <c r="E9" s="59"/>
      <c r="F9" s="59"/>
    </row>
    <row r="10" spans="1:10" s="56" customFormat="1" ht="14.4" customHeight="1" outlineLevel="2" x14ac:dyDescent="0.3">
      <c r="C10" s="58"/>
      <c r="D10" s="20" t="s">
        <v>24</v>
      </c>
      <c r="E10" s="59"/>
      <c r="F10" s="59"/>
    </row>
    <row r="11" spans="1:10" ht="14.4" customHeight="1" outlineLevel="2" x14ac:dyDescent="0.3">
      <c r="C11" s="19"/>
      <c r="D11" s="34" t="s">
        <v>19</v>
      </c>
      <c r="E11" s="59"/>
      <c r="F11" s="59"/>
    </row>
    <row r="12" spans="1:10" customFormat="1" ht="10.050000000000001" customHeight="1" outlineLevel="2" x14ac:dyDescent="0.3"/>
    <row r="13" spans="1:10" ht="19.95" customHeight="1" outlineLevel="1" x14ac:dyDescent="0.35">
      <c r="C13" s="13" t="s">
        <v>14</v>
      </c>
      <c r="D13" s="14"/>
      <c r="E13" s="53"/>
      <c r="F13" s="12"/>
    </row>
    <row r="14" spans="1:10" ht="10.050000000000001" customHeight="1" outlineLevel="1" x14ac:dyDescent="0.3">
      <c r="C14" s="15"/>
      <c r="D14" s="55"/>
      <c r="E14" s="55"/>
      <c r="F14" s="55"/>
    </row>
    <row r="15" spans="1:10" ht="14.4" customHeight="1" outlineLevel="2" x14ac:dyDescent="0.3">
      <c r="C15" s="19"/>
      <c r="D15" s="17" t="s">
        <v>18</v>
      </c>
      <c r="E15" s="18"/>
      <c r="F15" s="18"/>
    </row>
    <row r="16" spans="1:10" ht="14.4" customHeight="1" outlineLevel="2" x14ac:dyDescent="0.3">
      <c r="C16" s="19"/>
      <c r="D16" s="20" t="s">
        <v>20</v>
      </c>
      <c r="E16" s="18"/>
      <c r="F16" s="18"/>
    </row>
    <row r="17" spans="3:6" ht="14.4" customHeight="1" outlineLevel="2" x14ac:dyDescent="0.3">
      <c r="C17" s="19"/>
      <c r="D17" s="20" t="s">
        <v>22</v>
      </c>
      <c r="E17" s="18"/>
      <c r="F17" s="18"/>
    </row>
    <row r="18" spans="3:6" ht="14.4" customHeight="1" outlineLevel="2" x14ac:dyDescent="0.3">
      <c r="C18" s="19"/>
      <c r="D18" s="34" t="s">
        <v>23</v>
      </c>
      <c r="E18" s="22"/>
      <c r="F18" s="22"/>
    </row>
    <row r="19" spans="3:6" ht="10.050000000000001" customHeight="1" outlineLevel="2" x14ac:dyDescent="0.3">
      <c r="C19" s="15"/>
      <c r="E19" s="12"/>
      <c r="F19" s="12"/>
    </row>
    <row r="20" spans="3:6" ht="150" customHeight="1" outlineLevel="2" x14ac:dyDescent="0.3">
      <c r="C20" s="24"/>
      <c r="D20" s="25"/>
      <c r="E20" s="26"/>
      <c r="F20" s="26"/>
    </row>
    <row r="21" spans="3:6" ht="10.050000000000001" customHeight="1" outlineLevel="2" x14ac:dyDescent="0.3">
      <c r="C21" s="27"/>
      <c r="E21" s="12"/>
      <c r="F21" s="12"/>
    </row>
    <row r="22" spans="3:6" ht="19.95" customHeight="1" outlineLevel="1" x14ac:dyDescent="0.3">
      <c r="C22" s="13" t="s">
        <v>14</v>
      </c>
      <c r="D22" s="14"/>
      <c r="E22" s="12"/>
      <c r="F22" s="12"/>
    </row>
    <row r="23" spans="3:6" s="28" customFormat="1" ht="10.050000000000001" customHeight="1" outlineLevel="1" x14ac:dyDescent="0.3">
      <c r="C23" s="29"/>
      <c r="D23" s="30"/>
      <c r="E23" s="12"/>
      <c r="F23" s="12"/>
    </row>
    <row r="24" spans="3:6" ht="14.4" customHeight="1" outlineLevel="2" x14ac:dyDescent="0.35">
      <c r="C24" s="16"/>
      <c r="D24" s="17" t="s">
        <v>25</v>
      </c>
      <c r="E24" s="31"/>
      <c r="F24" s="31"/>
    </row>
    <row r="25" spans="3:6" ht="14.4" customHeight="1" outlineLevel="2" x14ac:dyDescent="0.3">
      <c r="C25" s="19"/>
      <c r="D25" s="21" t="s">
        <v>26</v>
      </c>
      <c r="E25" s="32"/>
      <c r="F25" s="32"/>
    </row>
    <row r="26" spans="3:6" ht="14.4" customHeight="1" outlineLevel="2" x14ac:dyDescent="0.3">
      <c r="C26" s="19"/>
      <c r="D26" s="20" t="s">
        <v>27</v>
      </c>
      <c r="E26" s="22"/>
      <c r="F26" s="22"/>
    </row>
    <row r="27" spans="3:6" ht="14.4" customHeight="1" outlineLevel="2" x14ac:dyDescent="0.3">
      <c r="C27" s="19"/>
      <c r="D27" s="21" t="s">
        <v>28</v>
      </c>
      <c r="E27" s="33"/>
      <c r="F27" s="33"/>
    </row>
    <row r="28" spans="3:6" ht="14.4" customHeight="1" outlineLevel="2" x14ac:dyDescent="0.3">
      <c r="C28" s="19"/>
      <c r="D28" s="34" t="s">
        <v>29</v>
      </c>
      <c r="E28" s="31"/>
      <c r="F28" s="31"/>
    </row>
    <row r="29" spans="3:6" ht="10.050000000000001" customHeight="1" outlineLevel="2" x14ac:dyDescent="0.3">
      <c r="C29" s="15"/>
      <c r="E29" s="12"/>
      <c r="F29" s="12"/>
    </row>
    <row r="30" spans="3:6" s="28" customFormat="1" ht="150" customHeight="1" outlineLevel="2" x14ac:dyDescent="0.3">
      <c r="C30" s="24"/>
      <c r="D30" s="25"/>
      <c r="E30" s="26"/>
      <c r="F30" s="26"/>
    </row>
    <row r="31" spans="3:6" s="28" customFormat="1" ht="10.050000000000001" customHeight="1" outlineLevel="2" x14ac:dyDescent="0.3">
      <c r="C31" s="24"/>
      <c r="D31" s="35"/>
      <c r="E31" s="12"/>
      <c r="F31" s="12"/>
    </row>
    <row r="32" spans="3:6" ht="19.95" customHeight="1" outlineLevel="1" x14ac:dyDescent="0.3">
      <c r="C32" s="13" t="s">
        <v>14</v>
      </c>
      <c r="D32" s="14"/>
      <c r="E32" s="12"/>
      <c r="F32" s="12"/>
    </row>
    <row r="33" spans="2:6" s="28" customFormat="1" ht="10.050000000000001" customHeight="1" outlineLevel="1" x14ac:dyDescent="0.3">
      <c r="C33" s="29"/>
      <c r="D33" s="30"/>
      <c r="E33" s="12"/>
      <c r="F33" s="12"/>
    </row>
    <row r="34" spans="2:6" ht="14.4" customHeight="1" outlineLevel="2" x14ac:dyDescent="0.35">
      <c r="C34" s="16"/>
      <c r="D34" s="36" t="s">
        <v>30</v>
      </c>
      <c r="E34" s="33"/>
      <c r="F34" s="33"/>
    </row>
    <row r="35" spans="2:6" ht="14.4" customHeight="1" outlineLevel="2" x14ac:dyDescent="0.3">
      <c r="C35" s="15"/>
      <c r="D35" s="37">
        <v>0.05</v>
      </c>
      <c r="E35" s="31"/>
      <c r="F35" s="31"/>
    </row>
    <row r="36" spans="2:6" ht="14.4" customHeight="1" outlineLevel="2" x14ac:dyDescent="0.3">
      <c r="C36" s="15"/>
      <c r="D36" s="38">
        <v>0.25</v>
      </c>
      <c r="E36" s="33"/>
      <c r="F36" s="33"/>
    </row>
    <row r="37" spans="2:6" ht="14.4" customHeight="1" outlineLevel="2" x14ac:dyDescent="0.3">
      <c r="C37" s="15"/>
      <c r="D37" s="37">
        <v>0.5</v>
      </c>
      <c r="E37" s="31"/>
      <c r="F37" s="31"/>
    </row>
    <row r="38" spans="2:6" ht="14.4" customHeight="1" outlineLevel="2" x14ac:dyDescent="0.3">
      <c r="C38" s="15"/>
      <c r="D38" s="38">
        <v>0.75</v>
      </c>
      <c r="E38" s="33"/>
      <c r="F38" s="33"/>
    </row>
    <row r="39" spans="2:6" ht="14.4" customHeight="1" outlineLevel="2" x14ac:dyDescent="0.3">
      <c r="C39" s="15"/>
      <c r="D39" s="37">
        <v>0.95</v>
      </c>
      <c r="E39" s="31"/>
      <c r="F39" s="31"/>
    </row>
    <row r="40" spans="2:6" ht="14.4" customHeight="1" outlineLevel="2" x14ac:dyDescent="0.3">
      <c r="C40" s="15"/>
      <c r="D40" s="38" t="s">
        <v>31</v>
      </c>
      <c r="E40" s="33"/>
      <c r="F40" s="33"/>
    </row>
    <row r="41" spans="2:6" ht="14.4" customHeight="1" outlineLevel="2" x14ac:dyDescent="0.3">
      <c r="C41" s="15"/>
      <c r="D41" s="20" t="s">
        <v>32</v>
      </c>
      <c r="E41" s="31"/>
      <c r="F41" s="31"/>
    </row>
    <row r="42" spans="2:6" ht="14.4" customHeight="1" outlineLevel="2" x14ac:dyDescent="0.3">
      <c r="C42" s="27"/>
      <c r="D42" s="23" t="s">
        <v>33</v>
      </c>
      <c r="E42" s="33"/>
      <c r="F42" s="33"/>
    </row>
    <row r="43" spans="2:6" ht="10.050000000000001" customHeight="1" outlineLevel="2" x14ac:dyDescent="0.3">
      <c r="C43" s="27"/>
      <c r="E43" s="12"/>
      <c r="F43" s="12"/>
    </row>
    <row r="44" spans="2:6" ht="19.95" customHeight="1" outlineLevel="1" x14ac:dyDescent="0.3">
      <c r="B44" s="47"/>
      <c r="C44" s="13" t="s">
        <v>14</v>
      </c>
      <c r="D44" s="14"/>
      <c r="E44" s="12"/>
      <c r="F44" s="12"/>
    </row>
    <row r="45" spans="2:6" ht="10.050000000000001" customHeight="1" outlineLevel="1" x14ac:dyDescent="0.3">
      <c r="B45" s="47"/>
      <c r="C45" s="29"/>
      <c r="E45" s="12"/>
      <c r="F45" s="12"/>
    </row>
    <row r="46" spans="2:6" ht="14.4" customHeight="1" outlineLevel="2" x14ac:dyDescent="0.3">
      <c r="B46" s="47"/>
      <c r="C46" s="47"/>
      <c r="D46" s="39" t="s">
        <v>44</v>
      </c>
      <c r="E46" s="40" t="b">
        <v>0</v>
      </c>
      <c r="F46" s="40" t="b">
        <v>0</v>
      </c>
    </row>
    <row r="47" spans="2:6" ht="14.4" customHeight="1" outlineLevel="2" x14ac:dyDescent="0.3">
      <c r="B47" s="47"/>
      <c r="C47" s="47"/>
      <c r="D47" s="39" t="s">
        <v>34</v>
      </c>
      <c r="E47" s="40" t="b">
        <v>0</v>
      </c>
      <c r="F47" s="40" t="b">
        <v>0</v>
      </c>
    </row>
    <row r="48" spans="2:6" ht="14.4" customHeight="1" outlineLevel="2" x14ac:dyDescent="0.3">
      <c r="B48" s="47"/>
      <c r="C48" s="47"/>
      <c r="D48" s="39" t="s">
        <v>35</v>
      </c>
      <c r="E48" s="40" t="b">
        <v>0</v>
      </c>
      <c r="F48" s="40" t="b">
        <v>0</v>
      </c>
    </row>
    <row r="49" spans="2:6" ht="14.4" customHeight="1" outlineLevel="2" x14ac:dyDescent="0.3">
      <c r="B49" s="47"/>
      <c r="C49" s="47"/>
      <c r="D49" s="39" t="s">
        <v>36</v>
      </c>
      <c r="E49" s="40" t="b">
        <v>0</v>
      </c>
      <c r="F49" s="40" t="b">
        <v>0</v>
      </c>
    </row>
    <row r="50" spans="2:6" ht="14.4" customHeight="1" outlineLevel="2" x14ac:dyDescent="0.3">
      <c r="B50" s="47"/>
      <c r="C50" s="47"/>
      <c r="D50" s="39" t="s">
        <v>37</v>
      </c>
      <c r="E50" s="40" t="b">
        <v>0</v>
      </c>
      <c r="F50" s="40" t="b">
        <v>0</v>
      </c>
    </row>
    <row r="51" spans="2:6" ht="14.4" customHeight="1" outlineLevel="2" x14ac:dyDescent="0.3">
      <c r="C51" s="3"/>
      <c r="D51" s="23" t="s">
        <v>38</v>
      </c>
      <c r="E51" s="41" t="b">
        <v>0</v>
      </c>
      <c r="F51" s="41" t="b">
        <v>0</v>
      </c>
    </row>
    <row r="52" spans="2:6" ht="10.050000000000001" customHeight="1" outlineLevel="2" x14ac:dyDescent="0.3">
      <c r="C52" s="24"/>
      <c r="E52" s="12"/>
      <c r="F52" s="12"/>
    </row>
    <row r="53" spans="2:6" ht="19.95" customHeight="1" outlineLevel="1" x14ac:dyDescent="0.3">
      <c r="B53" s="47"/>
      <c r="C53" s="13" t="s">
        <v>14</v>
      </c>
      <c r="D53" s="14"/>
      <c r="E53" s="12"/>
      <c r="F53" s="12"/>
    </row>
    <row r="54" spans="2:6" ht="10.050000000000001" customHeight="1" outlineLevel="1" x14ac:dyDescent="0.3">
      <c r="B54" s="47"/>
      <c r="C54" s="13"/>
      <c r="D54" s="14"/>
      <c r="E54" s="12"/>
      <c r="F54" s="12"/>
    </row>
    <row r="55" spans="2:6" ht="14.4" customHeight="1" outlineLevel="2" x14ac:dyDescent="0.3">
      <c r="B55" s="47"/>
      <c r="C55" s="47"/>
      <c r="D55" s="51" t="str">
        <f>IF(COUNTIF(FieldAction1, "&lt;&gt;FALSE") = 0,"",SUBSTITUTE(LOWER(D46)," ","_") &amp;" = ")</f>
        <v/>
      </c>
      <c r="E55" s="50" t="str">
        <f>IF(COUNTIF(FieldAction1, "&lt;&gt;FALSE") = 0,"","['"&amp;_xlfn.TEXTJOIN("', '", TRUE, _xlfn._xlws.FILTER(FieldRange,FieldAction1&lt;&gt; FALSE, ""))&amp;"']")</f>
        <v/>
      </c>
    </row>
    <row r="56" spans="2:6" ht="14.4" customHeight="1" outlineLevel="2" x14ac:dyDescent="0.3">
      <c r="B56" s="47"/>
      <c r="C56" s="47"/>
      <c r="D56" s="51" t="str">
        <f>IF(COUNTIF(FieldAction2, "&lt;&gt;FALSE") = 0,"",SUBSTITUTE(LOWER(D47)," ","_")&amp;" = ")</f>
        <v/>
      </c>
      <c r="E56" s="50" t="str">
        <f>IF(COUNTIF(FieldAction2, "&lt;&gt;FALSE") = 0,"","['"&amp;_xlfn.TEXTJOIN("', '", TRUE, _xlfn._xlws.FILTER(FieldRange,FieldAction2&lt;&gt; FALSE, ""))&amp;"']")</f>
        <v/>
      </c>
    </row>
    <row r="57" spans="2:6" ht="14.4" customHeight="1" outlineLevel="2" x14ac:dyDescent="0.3">
      <c r="B57" s="47"/>
      <c r="C57" s="47"/>
      <c r="D57" s="51" t="str">
        <f>IF(COUNTIF(FieldAction3, "&lt;&gt;FALSE") = 0,"",SUBSTITUTE(LOWER(D48)," ","_")&amp;" = ")</f>
        <v/>
      </c>
      <c r="E57" s="50" t="str">
        <f>IF(COUNTIF(FieldAction3, "&lt;&gt;FALSE") = 0,"","['"&amp;_xlfn.TEXTJOIN("', '", TRUE, _xlfn._xlws.FILTER(FieldRange,FieldAction3&lt;&gt; FALSE, ""))&amp;"']")</f>
        <v/>
      </c>
    </row>
    <row r="58" spans="2:6" ht="14.4" customHeight="1" outlineLevel="2" x14ac:dyDescent="0.3">
      <c r="B58" s="47"/>
      <c r="C58" s="47"/>
      <c r="D58" s="51" t="str">
        <f>IF(COUNTIF(FieldAction4, "&lt;&gt;FALSE") = 0,"",SUBSTITUTE(LOWER(D49)," ","_")&amp;" = ")</f>
        <v/>
      </c>
      <c r="E58" s="50" t="str">
        <f>IF(COUNTIF(FieldAction4, "&lt;&gt;FALSE") = 0,"","['"&amp;_xlfn.TEXTJOIN("', '", TRUE, _xlfn._xlws.FILTER(FieldRange,FieldAction4&lt;&gt; FALSE, ""))&amp;"']")</f>
        <v/>
      </c>
    </row>
    <row r="59" spans="2:6" ht="14.4" customHeight="1" outlineLevel="2" x14ac:dyDescent="0.3">
      <c r="B59" s="47"/>
      <c r="C59" s="47"/>
      <c r="D59" s="51" t="str">
        <f>IF(COUNTIF(FieldAction5, "&lt;&gt;FALSE") = 0,"",SUBSTITUTE(LOWER(D50)," ","_")&amp;" = ")</f>
        <v/>
      </c>
      <c r="E59" s="50" t="str">
        <f>IF(COUNTIF(FieldAction5, "&lt;&gt;FALSE") = 0,"","['"&amp;_xlfn.TEXTJOIN("', '", TRUE, _xlfn._xlws.FILTER(FieldRange,FieldAction5&lt;&gt; FALSE, ""))&amp;"']")</f>
        <v/>
      </c>
    </row>
    <row r="60" spans="2:6" ht="13.8" customHeight="1" outlineLevel="2" x14ac:dyDescent="0.3">
      <c r="B60" s="47"/>
      <c r="C60" s="47"/>
      <c r="D60" s="51" t="str">
        <f>IF(COUNTIF(FieldAction6, "&lt;&gt;FALSE") = 0,"",SUBSTITUTE(LOWER(D51)," ","_")&amp;" = ")</f>
        <v/>
      </c>
      <c r="E60" s="50" t="str">
        <f>IF(COUNTIF(FieldAction6, "&lt;&gt;FALSE") = 0,"","['"&amp;_xlfn.TEXTJOIN("', '", TRUE, _xlfn._xlws.FILTER(FieldRange,FieldAction6&lt;&gt; FALSE, ""))&amp;"']")</f>
        <v/>
      </c>
    </row>
    <row r="61" spans="2:6" ht="14.4" customHeight="1" outlineLevel="2" x14ac:dyDescent="0.3">
      <c r="C61" s="42"/>
      <c r="D61" s="52" t="str">
        <f>IF(COUNTIF(tbl_SourceData[Mark for Removal], "&lt;&gt;FALSE") = 0,"",SUBSTITUTE(LOWER(LightHeader)," ", "_") &amp;" = ")</f>
        <v/>
      </c>
      <c r="E61" s="50" t="str" cm="1">
        <f t="array" ref="E61">IF(COUNTIF(tbl_SourceData[Mark for Removal], "&lt;&gt;FALSE") = 0,"","['"&amp;_xlfn.TEXTJOIN("', '", TRUE, _xlfn._xlws.FILTER(_xlfn.TAKE(tbl_SourceData[],,-1), tbl_SourceData[Mark for Removal] &lt;&gt; FALSE, ""))&amp;"']")</f>
        <v/>
      </c>
    </row>
    <row r="62" spans="2:6" ht="10.050000000000001" customHeight="1" outlineLevel="2" x14ac:dyDescent="0.3">
      <c r="C62" s="24"/>
      <c r="D62" s="43"/>
      <c r="E62" s="44"/>
      <c r="F62" s="44"/>
    </row>
    <row r="63" spans="2:6" ht="30" customHeight="1" x14ac:dyDescent="0.3">
      <c r="D63" s="45" t="s">
        <v>41</v>
      </c>
      <c r="E63" s="46" t="s">
        <v>42</v>
      </c>
      <c r="F63" s="46" t="s">
        <v>39</v>
      </c>
    </row>
    <row r="64" spans="2:6" x14ac:dyDescent="0.3">
      <c r="D64" s="48" t="b">
        <v>0</v>
      </c>
      <c r="E64" s="49"/>
      <c r="F64" s="49"/>
    </row>
    <row r="65" spans="4:6" x14ac:dyDescent="0.3">
      <c r="D65" s="48" t="b">
        <v>0</v>
      </c>
      <c r="E65" s="49"/>
      <c r="F65" s="49"/>
    </row>
    <row r="66" spans="4:6" x14ac:dyDescent="0.3">
      <c r="D66" s="48" t="b">
        <v>0</v>
      </c>
      <c r="E66" s="49"/>
      <c r="F66" s="49"/>
    </row>
  </sheetData>
  <phoneticPr fontId="16" type="noConversion"/>
  <conditionalFormatting sqref="E20:F20 E62:F62">
    <cfRule type="cellIs" dxfId="15" priority="29" operator="equal">
      <formula>"Notes"</formula>
    </cfRule>
  </conditionalFormatting>
  <conditionalFormatting sqref="E24:F28 E34:F42 E8:F8 E15:F20">
    <cfRule type="cellIs" dxfId="14" priority="30" operator="equal">
      <formula>0</formula>
    </cfRule>
  </conditionalFormatting>
  <conditionalFormatting sqref="E30:F30">
    <cfRule type="cellIs" dxfId="13" priority="28" operator="equal">
      <formula>"Notes"</formula>
    </cfRule>
  </conditionalFormatting>
  <conditionalFormatting sqref="D64:D66">
    <cfRule type="cellIs" dxfId="12" priority="26" operator="equal">
      <formula>FALSE</formula>
    </cfRule>
    <cfRule type="cellIs" dxfId="11" priority="27" operator="notEqual">
      <formula>FALSE</formula>
    </cfRule>
  </conditionalFormatting>
  <conditionalFormatting sqref="E46:F51">
    <cfRule type="cellIs" dxfId="10" priority="24" operator="equal">
      <formula>FALSE</formula>
    </cfRule>
    <cfRule type="cellIs" dxfId="9" priority="25" operator="notEqual">
      <formula>FALSE</formula>
    </cfRule>
  </conditionalFormatting>
  <conditionalFormatting sqref="E3:F3">
    <cfRule type="cellIs" dxfId="8" priority="21" operator="notEqual">
      <formula>"Notes"</formula>
    </cfRule>
  </conditionalFormatting>
  <conditionalFormatting sqref="E9:F11">
    <cfRule type="colorScale" priority="1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69B80-C689-4F14-AC34-30265A4BDFB8}">
  <dimension ref="A1:Q14"/>
  <sheetViews>
    <sheetView topLeftCell="A2" workbookViewId="0">
      <selection activeCell="D4" sqref="D4:Q4"/>
    </sheetView>
  </sheetViews>
  <sheetFormatPr defaultRowHeight="14.4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26.33203125" style="12" customWidth="1"/>
    <col min="5" max="16384" width="8.88671875" style="3"/>
  </cols>
  <sheetData>
    <row r="1" spans="1:17" s="64" customFormat="1" ht="31.8" hidden="1" customHeight="1" x14ac:dyDescent="0.3">
      <c r="A1" s="61"/>
      <c r="B1" s="61"/>
      <c r="C1" s="62"/>
      <c r="D1" s="63"/>
      <c r="E1" s="61"/>
      <c r="F1" s="63"/>
      <c r="G1" s="61"/>
      <c r="H1" s="61"/>
    </row>
    <row r="3" spans="1:17" ht="10.050000000000001" customHeight="1" thickBot="1" x14ac:dyDescent="0.35">
      <c r="C3" s="47"/>
      <c r="D3" s="8"/>
    </row>
    <row r="4" spans="1:17" s="9" customFormat="1" ht="30" customHeight="1" thickBot="1" x14ac:dyDescent="0.35"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</row>
    <row r="5" spans="1:17" ht="10.050000000000001" customHeight="1" x14ac:dyDescent="0.3"/>
    <row r="6" spans="1:17" ht="19.2" customHeight="1" x14ac:dyDescent="0.3">
      <c r="C6" s="47"/>
      <c r="D6" s="8"/>
    </row>
    <row r="13" spans="1:17" x14ac:dyDescent="0.3">
      <c r="D13" s="3"/>
    </row>
    <row r="14" spans="1:17" x14ac:dyDescent="0.3">
      <c r="D14" s="3"/>
    </row>
  </sheetData>
  <mergeCells count="1">
    <mergeCell ref="D4:Q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5C7FD-1402-4FFD-8121-291A8851A7F7}">
  <sheetPr codeName="Sheet4"/>
  <dimension ref="B2:F9"/>
  <sheetViews>
    <sheetView zoomScale="85" zoomScaleNormal="85" workbookViewId="0">
      <pane xSplit="4" ySplit="4" topLeftCell="E5" activePane="bottomRight" state="frozen"/>
      <selection activeCell="D4" sqref="D4:Q4"/>
      <selection pane="topRight" activeCell="D4" sqref="D4:Q4"/>
      <selection pane="bottomLeft" activeCell="D4" sqref="D4:Q4"/>
      <selection pane="bottomRight" activeCell="D4" sqref="D4:Q4"/>
    </sheetView>
  </sheetViews>
  <sheetFormatPr defaultRowHeight="14.4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37.44140625" style="12" customWidth="1"/>
    <col min="5" max="6" width="27.77734375" style="3" customWidth="1"/>
    <col min="7" max="16384" width="8.88671875" style="3"/>
  </cols>
  <sheetData>
    <row r="2" spans="2:6" ht="51.6" customHeight="1" x14ac:dyDescent="0.3">
      <c r="C2" s="65"/>
      <c r="D2" s="6"/>
      <c r="E2" s="7" t="s">
        <v>15</v>
      </c>
      <c r="F2" s="7" t="s">
        <v>15</v>
      </c>
    </row>
    <row r="3" spans="2:6" ht="10.050000000000001" customHeight="1" thickBot="1" x14ac:dyDescent="0.35">
      <c r="C3" s="47"/>
      <c r="D3" s="8"/>
    </row>
    <row r="4" spans="2:6" s="11" customFormat="1" ht="30" customHeight="1" thickBot="1" x14ac:dyDescent="0.35">
      <c r="B4" s="3"/>
      <c r="C4" s="60"/>
      <c r="D4" s="9" t="s">
        <v>16</v>
      </c>
      <c r="E4" s="10"/>
      <c r="F4" s="10"/>
    </row>
    <row r="5" spans="2:6" ht="10.050000000000001" customHeight="1" x14ac:dyDescent="0.3">
      <c r="C5" s="47"/>
      <c r="D5" s="8"/>
    </row>
    <row r="6" spans="2:6" ht="10.050000000000001" customHeight="1" x14ac:dyDescent="0.3">
      <c r="C6" s="15"/>
      <c r="E6" s="12"/>
      <c r="F6" s="12"/>
    </row>
    <row r="7" spans="2:6" ht="150" customHeight="1" x14ac:dyDescent="0.3">
      <c r="C7" s="24"/>
      <c r="D7" s="25"/>
      <c r="E7" s="26"/>
      <c r="F7" s="26"/>
    </row>
    <row r="8" spans="2:6" ht="10.050000000000001" customHeight="1" x14ac:dyDescent="0.3">
      <c r="C8" s="27"/>
      <c r="E8" s="12"/>
      <c r="F8" s="12"/>
    </row>
    <row r="9" spans="2:6" collapsed="1" x14ac:dyDescent="0.3"/>
  </sheetData>
  <conditionalFormatting sqref="E7:F7">
    <cfRule type="cellIs" dxfId="3" priority="9" operator="equal">
      <formula>"Notes"</formula>
    </cfRule>
  </conditionalFormatting>
  <conditionalFormatting sqref="E6:F7">
    <cfRule type="cellIs" dxfId="2" priority="10" operator="equal">
      <formula>0</formula>
    </cfRule>
  </conditionalFormatting>
  <conditionalFormatting sqref="E2:F2">
    <cfRule type="cellIs" dxfId="1" priority="2" operator="equal">
      <formula>"Notes"</formula>
    </cfRule>
    <cfRule type="cellIs" dxfId="0" priority="3" operator="equal">
      <formula>"Notes"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J20" sqref="J20"/>
    </sheetView>
  </sheetViews>
  <sheetFormatPr defaultColWidth="9" defaultRowHeight="14.4" x14ac:dyDescent="0.3"/>
  <cols>
    <col min="1" max="1" width="14.77734375" style="1" customWidth="1"/>
    <col min="2" max="2" width="9.33203125" style="1" customWidth="1"/>
    <col min="3" max="16384" width="9" style="1"/>
  </cols>
  <sheetData>
    <row r="1" spans="1:2" x14ac:dyDescent="0.3">
      <c r="A1" s="1" t="s">
        <v>8</v>
      </c>
      <c r="B1" s="1" t="s">
        <v>40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13</v>
      </c>
      <c r="B9" s="1" t="b">
        <v>0</v>
      </c>
    </row>
    <row r="13" spans="1:2" ht="15.6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32</vt:i4>
      </vt:variant>
    </vt:vector>
  </HeadingPairs>
  <TitlesOfParts>
    <vt:vector size="36" baseType="lpstr">
      <vt:lpstr>Field Analysis</vt:lpstr>
      <vt:lpstr>MultivariatePlots</vt:lpstr>
      <vt:lpstr>UnivariatePlots</vt:lpstr>
      <vt:lpstr>xlwings.conf</vt:lpstr>
      <vt:lpstr>ActionLists</vt:lpstr>
      <vt:lpstr>Actions</vt:lpstr>
      <vt:lpstr>Composition</vt:lpstr>
      <vt:lpstr>CompositionTable</vt:lpstr>
      <vt:lpstr>CompositionTable_Start</vt:lpstr>
      <vt:lpstr>DarkHeader</vt:lpstr>
      <vt:lpstr>Dimensions</vt:lpstr>
      <vt:lpstr>Field_Action_Lists</vt:lpstr>
      <vt:lpstr>Field_Actions</vt:lpstr>
      <vt:lpstr>Field_Analysis</vt:lpstr>
      <vt:lpstr>FieldAction1</vt:lpstr>
      <vt:lpstr>FieldAction2</vt:lpstr>
      <vt:lpstr>FieldAction3</vt:lpstr>
      <vt:lpstr>FieldAction4</vt:lpstr>
      <vt:lpstr>FieldAction5</vt:lpstr>
      <vt:lpstr>FieldAction6</vt:lpstr>
      <vt:lpstr>FieldAnalysisTheme</vt:lpstr>
      <vt:lpstr>FieldRange</vt:lpstr>
      <vt:lpstr>FormatRange</vt:lpstr>
      <vt:lpstr>Headers_Start</vt:lpstr>
      <vt:lpstr>Histogram</vt:lpstr>
      <vt:lpstr>LightHeader</vt:lpstr>
      <vt:lpstr>MvPlotRange</vt:lpstr>
      <vt:lpstr>MvTitle</vt:lpstr>
      <vt:lpstr>Notes</vt:lpstr>
      <vt:lpstr>Overview</vt:lpstr>
      <vt:lpstr>Percentiles</vt:lpstr>
      <vt:lpstr>Summary_Stats</vt:lpstr>
      <vt:lpstr>UvHeader</vt:lpstr>
      <vt:lpstr>UvPlotRange</vt:lpstr>
      <vt:lpstr>UvTitle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2026-05-14T20:24:39Z</dcterms:modified>
</cp:coreProperties>
</file>