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src\xleda\"/>
    </mc:Choice>
  </mc:AlternateContent>
  <xr:revisionPtr revIDLastSave="0" documentId="13_ncr:1_{014A8C1D-5098-4343-8D2B-A39922CCB3C6}" xr6:coauthVersionLast="47" xr6:coauthVersionMax="47" xr10:uidLastSave="{00000000-0000-0000-0000-000000000000}"/>
  <bookViews>
    <workbookView xWindow="-108" yWindow="-108" windowWidth="23256" windowHeight="12456" tabRatio="578" xr2:uid="{00000000-000D-0000-FFFF-FFFF00000000}"/>
  </bookViews>
  <sheets>
    <sheet name="Field Analysis" sheetId="3" r:id="rId1"/>
    <sheet name="Overview" sheetId="9" r:id="rId2"/>
    <sheet name="SinglePlot" sheetId="7" state="hidden" r:id="rId3"/>
    <sheet name="MultiplePlots" sheetId="8" state="hidden" r:id="rId4"/>
  </sheets>
  <definedNames>
    <definedName name="Compiled_Lists">'Field Analysis'!$C$57:$C$65</definedName>
    <definedName name="Composition">'Field Analysis'!$D$15:$D$21</definedName>
    <definedName name="CompositionTable">'Field Analysis'!$D$20</definedName>
    <definedName name="DarkHeader">'Field Analysis'!$D$67</definedName>
    <definedName name="Dimensions">'Field Analysis'!$C$4</definedName>
    <definedName name="Field_Analysis">'Field Analysis'!$D$8:$D$66</definedName>
    <definedName name="Field_Lists">'Field Analysis'!$C$46:$D$54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Analysis'!$D$46:$E$46</definedName>
    <definedName name="FieldList2" localSheetId="3">#REF!</definedName>
    <definedName name="FieldList2" localSheetId="2">#REF!</definedName>
    <definedName name="FieldList2">'Field Analysis'!$D$47:$E$47</definedName>
    <definedName name="FieldList3" localSheetId="3">#REF!</definedName>
    <definedName name="FieldList3" localSheetId="2">#REF!</definedName>
    <definedName name="FieldList3">'Field Analysis'!$D$48:$E$48</definedName>
    <definedName name="FieldList4" localSheetId="3">#REF!</definedName>
    <definedName name="FieldList4" localSheetId="2">#REF!</definedName>
    <definedName name="FieldList4">'Field Analysis'!$D$49:$E$49</definedName>
    <definedName name="FieldList5" localSheetId="3">#REF!</definedName>
    <definedName name="FieldList5" localSheetId="2">#REF!</definedName>
    <definedName name="FieldList5">'Field Analysis'!$D$50:$E$50</definedName>
    <definedName name="FieldList6" localSheetId="3">#REF!</definedName>
    <definedName name="FieldList6" localSheetId="2">#REF!</definedName>
    <definedName name="FieldList6">'Field Analysis'!$D$51:$E$51</definedName>
    <definedName name="FieldList7">'Field Analysis'!$D$52:$E$52</definedName>
    <definedName name="FieldList8">'Field Analysis'!$D$53:$E$53</definedName>
    <definedName name="FieldRange" localSheetId="3">#REF!</definedName>
    <definedName name="FieldRange" localSheetId="2">#REF!</definedName>
    <definedName name="FieldRange">'Field Analysis'!$D$67:$D$67</definedName>
    <definedName name="FormatRange">'Field Analysis'!$E:$E</definedName>
    <definedName name="Headers_Start">'Field Analysis'!$D$6</definedName>
    <definedName name="Histogram">'Field Analysis'!$D$30</definedName>
    <definedName name="LightHeader" localSheetId="3">#REF!</definedName>
    <definedName name="LightHeader" localSheetId="2">#REF!</definedName>
    <definedName name="LightHeader">'Field Analysis'!$C$67</definedName>
    <definedName name="Metadata">Overview!$C$4:$C$8</definedName>
    <definedName name="MultiplePlots">MultiplePlots!$E$7</definedName>
    <definedName name="MultiplePlotsTitle">MultiplePlots!$D$2</definedName>
    <definedName name="Name">Overview!$B$2</definedName>
    <definedName name="Notes" localSheetId="3">#REF!</definedName>
    <definedName name="Notes" localSheetId="2">#REF!</definedName>
    <definedName name="Notes">'Field Analysis'!$D$3:$D$3</definedName>
    <definedName name="Overview">'Field Analysis'!$D$8:$D$12</definedName>
    <definedName name="Percentiles">'Field Analysis'!$D$34:$D$43</definedName>
    <definedName name="SerializedLists">'Field Analysis'!$D$57:$D$66</definedName>
    <definedName name="SinglePlot">SinglePlot!$C$6</definedName>
    <definedName name="SinglePlotTitle">SinglePlot!$C$2</definedName>
    <definedName name="Summary_Stats">'Field Analysis'!$D$24:$D$31</definedName>
    <definedName name="Theme" localSheetId="0">'Field Analysis'!$B$6:$E$6,LightHeader</definedName>
    <definedName name="Theme" localSheetId="3">MultiplePlots!$C$4:$E$4</definedName>
    <definedName name="Theme" localSheetId="1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4" i="3" l="1" a="1"/>
  <c r="D64" i="3" s="1"/>
  <c r="D63" i="3" a="1"/>
  <c r="D63" i="3" s="1"/>
  <c r="C62" i="3"/>
  <c r="C63" i="3"/>
  <c r="C64" i="3"/>
  <c r="D57" i="3"/>
  <c r="C65" i="3"/>
  <c r="C61" i="3"/>
  <c r="C60" i="3"/>
  <c r="C59" i="3"/>
  <c r="C58" i="3"/>
  <c r="C57" i="3"/>
  <c r="D61" i="3"/>
  <c r="D60" i="3"/>
  <c r="D59" i="3"/>
  <c r="D58" i="3"/>
  <c r="D62" i="3"/>
  <c r="D65" i="3" a="1"/>
  <c r="D65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<sst xmlns="http://schemas.openxmlformats.org/spreadsheetml/2006/main" count="75" uniqueCount="47">
  <si>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</si>
  <si>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</si>
  <si>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</si>
  <si>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</si>
  <si>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</si>
  <si>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</si>
  <si>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</si>
  <si>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</si>
  <si>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</si>
  <si>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</si>
  <si>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</si>
  <si>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</si>
  <si>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</si>
  <si>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</si>
  <si>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</si>
  <si>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</si>
  <si>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</si>
  <si>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</si>
  <si>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</si>
  <si>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</si>
  <si>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</si>
  <si>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Dark Header</t>
  </si>
  <si>
    <t>This is only showing a sample because it is larger than the limits of 100,000 rows/100 columns</t>
  </si>
  <si>
    <t>Record List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</si>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</sst>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5" formatCode="0.0%"/>
    <numFmt numFmtId="167" formatCode="#,##0.0"/>
  </numFmts>
  <fonts count="25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0"/>
      <color theme="0"/>
      <name val="Calibri"/>
      <family val="2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sz val="24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</fills>
  <borders count="17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4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6" fillId="6" borderId="8" xfId="1" applyFont="1" applyFill="1" applyBorder="1" applyAlignment="1">
      <alignment horizontal="center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3" fontId="6" fillId="4" borderId="12" xfId="2" applyNumberFormat="1" applyFont="1" applyFill="1" applyBorder="1" applyAlignment="1">
      <alignment horizontal="center" vertical="center" wrapText="1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16" fillId="2" borderId="0" xfId="1" applyFont="1" applyAlignment="1">
      <alignment vertical="center"/>
    </xf>
    <xf numFmtId="0" fontId="2" fillId="2" borderId="0" xfId="1" applyAlignment="1">
      <alignment horizontal="center" vertical="center"/>
    </xf>
    <xf numFmtId="0" fontId="20" fillId="2" borderId="0" xfId="1" applyFont="1" applyAlignment="1">
      <alignment horizontal="right" vertical="center" indent="7"/>
    </xf>
    <xf numFmtId="0" fontId="22" fillId="2" borderId="0" xfId="1" applyFont="1" applyAlignment="1">
      <alignment horizontal="right" vertical="center" indent="7"/>
    </xf>
    <xf numFmtId="0" fontId="21" fillId="2" borderId="1" xfId="1" applyNumberFormat="1" applyFont="1" applyBorder="1" applyAlignment="1">
      <alignment horizontal="left" vertical="center" wrapText="1" indent="1"/>
    </xf>
    <xf numFmtId="0" fontId="13" fillId="5" borderId="0" xfId="1" applyFont="1" applyFill="1" applyBorder="1" applyAlignment="1">
      <alignment horizontal="right"/>
    </xf>
    <xf numFmtId="0" fontId="23" fillId="2" borderId="0" xfId="1" applyFont="1" applyAlignment="1">
      <alignment vertical="center"/>
    </xf>
    <xf numFmtId="0" fontId="24" fillId="2" borderId="9" xfId="1" applyFont="1" applyBorder="1" applyAlignment="1">
      <alignment vertical="center"/>
    </xf>
    <xf numFmtId="0" fontId="10" fillId="4" borderId="0" xfId="1" applyFont="1" applyFill="1" applyAlignment="1">
      <alignment horizontal="right" wrapText="1"/>
    </xf>
    <xf numFmtId="0" fontId="3" fillId="2" borderId="0" xfId="1" applyFont="1" applyAlignment="1">
      <alignment horizontal="left" vertical="center" indent="1"/>
    </xf>
    <xf numFmtId="0" fontId="3" fillId="2" borderId="0" xfId="1" applyFont="1" applyAlignment="1">
      <alignment horizontal="left" vertical="center" wrapText="1" indent="1"/>
    </xf>
    <xf numFmtId="0" fontId="2" fillId="2" borderId="0" xfId="1" applyAlignment="1">
      <alignment horizontal="left" indent="1"/>
    </xf>
    <xf numFmtId="0" fontId="2" fillId="2" borderId="0" xfId="1" applyAlignment="1">
      <alignment horizontal="left" wrapText="1" indent="1"/>
    </xf>
    <xf numFmtId="0" fontId="0" fillId="2" borderId="0" xfId="0" applyAlignment="1">
      <alignment horizontal="left" indent="1"/>
    </xf>
    <xf numFmtId="0" fontId="0" fillId="2" borderId="0" xfId="0" applyAlignment="1">
      <alignment horizontal="left" wrapText="1" indent="1"/>
    </xf>
    <xf numFmtId="9" fontId="6" fillId="5" borderId="14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6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0" fontId="10" fillId="8" borderId="4" xfId="1" applyFont="1" applyFill="1" applyBorder="1" applyAlignment="1">
      <alignment horizontal="left" vertical="center" indent="1"/>
    </xf>
    <xf numFmtId="0" fontId="10" fillId="8" borderId="4" xfId="1" applyFont="1" applyFill="1" applyBorder="1" applyAlignment="1">
      <alignment horizontal="center" vertical="center"/>
    </xf>
    <xf numFmtId="0" fontId="3" fillId="8" borderId="2" xfId="1" applyFont="1" applyFill="1" applyBorder="1" applyAlignment="1">
      <alignment wrapText="1"/>
    </xf>
    <xf numFmtId="0" fontId="10" fillId="8" borderId="10" xfId="1" applyFont="1" applyFill="1" applyBorder="1" applyAlignment="1">
      <alignment horizontal="center" vertical="center"/>
    </xf>
    <xf numFmtId="0" fontId="19" fillId="8" borderId="2" xfId="1" applyFont="1" applyFill="1" applyBorder="1" applyAlignment="1">
      <alignment vertical="center" wrapText="1"/>
    </xf>
    <xf numFmtId="0" fontId="2" fillId="8" borderId="4" xfId="1" applyFill="1" applyBorder="1" applyAlignment="1"/>
    <xf numFmtId="0" fontId="3" fillId="8" borderId="4" xfId="1" applyFont="1" applyFill="1" applyBorder="1" applyAlignment="1">
      <alignment wrapText="1"/>
    </xf>
    <xf numFmtId="0" fontId="7" fillId="8" borderId="4" xfId="1" applyFont="1" applyFill="1" applyBorder="1" applyAlignment="1">
      <alignment horizontal="center" vertical="center" wrapText="1"/>
    </xf>
    <xf numFmtId="0" fontId="2" fillId="8" borderId="4" xfId="1" applyFill="1" applyBorder="1"/>
    <xf numFmtId="0" fontId="21" fillId="2" borderId="13" xfId="1" applyFont="1" applyBorder="1" applyAlignment="1">
      <alignment horizontal="left" vertical="center" wrapText="1" indent="1"/>
    </xf>
    <xf numFmtId="0" fontId="21" fillId="2" borderId="0" xfId="1" applyFont="1" applyBorder="1" applyAlignment="1">
      <alignment horizontal="left" vertical="center" wrapText="1" indent="1"/>
    </xf>
    <xf numFmtId="3" fontId="0" fillId="2" borderId="0" xfId="0" applyNumberFormat="1" applyAlignment="1">
      <alignment horizontal="center" vertical="center"/>
    </xf>
    <xf numFmtId="165" fontId="0" fillId="2" borderId="0" xfId="0" applyNumberFormat="1" applyAlignment="1">
      <alignment horizontal="center"/>
    </xf>
    <xf numFmtId="3" fontId="0" fillId="2" borderId="0" xfId="0" applyNumberFormat="1" applyAlignment="1">
      <alignment horizontal="center"/>
    </xf>
    <xf numFmtId="3" fontId="2" fillId="2" borderId="15" xfId="1" applyNumberFormat="1" applyBorder="1" applyAlignment="1">
      <alignment horizontal="center"/>
    </xf>
    <xf numFmtId="3" fontId="3" fillId="2" borderId="14" xfId="1" applyNumberFormat="1" applyFont="1" applyBorder="1" applyAlignment="1">
      <alignment horizontal="center" vertical="center"/>
    </xf>
    <xf numFmtId="165" fontId="6" fillId="5" borderId="14" xfId="3" applyNumberFormat="1" applyFont="1" applyFill="1" applyBorder="1" applyAlignment="1">
      <alignment horizontal="center" vertical="center" wrapText="1"/>
    </xf>
    <xf numFmtId="167" fontId="0" fillId="2" borderId="0" xfId="0" applyNumberFormat="1" applyAlignment="1">
      <alignment horizontal="center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9">
    <dxf>
      <alignment horizontal="center" vertical="bottom" textRotation="0" wrapText="0" indent="0" justifyLastLine="0" shrinkToFit="0" readingOrder="0"/>
    </dxf>
    <dxf>
      <numFmt numFmtId="167" formatCode="#,##0.0"/>
      <alignment horizontal="center" vertical="bottom" textRotation="0" wrapText="0" indent="0" justifyLastLine="0" shrinkToFit="0" readingOrder="0"/>
    </dxf>
    <dxf>
      <numFmt numFmtId="167" formatCode="#,##0.0"/>
      <alignment horizontal="center" vertical="bottom" textRotation="0" wrapText="0" indent="0" justifyLastLine="0" shrinkToFit="0" readingOrder="0"/>
    </dxf>
    <dxf>
      <numFmt numFmtId="167" formatCode="#,##0.0"/>
      <alignment horizontal="center" vertical="bottom" textRotation="0" wrapText="0" indent="0" justifyLastLine="0" shrinkToFit="0" readingOrder="0"/>
    </dxf>
    <dxf>
      <numFmt numFmtId="167" formatCode="#,##0.0"/>
      <alignment horizontal="center" vertical="bottom" textRotation="0" wrapText="0" indent="0" justifyLastLine="0" shrinkToFit="0" readingOrder="0"/>
    </dxf>
    <dxf>
      <numFmt numFmtId="167" formatCode="#,##0.0"/>
      <alignment horizontal="center" vertical="bottom" textRotation="0" wrapText="0" indent="0" justifyLastLine="0" shrinkToFit="0" readingOrder="0"/>
    </dxf>
    <dxf>
      <numFmt numFmtId="167" formatCode="#,##0.0"/>
      <alignment horizontal="center" vertical="bottom" textRotation="0" wrapText="0" indent="0" justifyLastLine="0" shrinkToFit="0" readingOrder="0"/>
    </dxf>
    <dxf>
      <numFmt numFmtId="167" formatCode="#,##0.0"/>
      <alignment horizontal="center" vertical="bottom" textRotation="0" wrapText="0" indent="0" justifyLastLine="0" shrinkToFit="0" readingOrder="0"/>
    </dxf>
    <dxf>
      <numFmt numFmtId="167" formatCode="#,##0.0"/>
      <alignment horizontal="center" vertical="bottom" textRotation="0" wrapText="0" indent="0" justifyLastLine="0" shrinkToFit="0" readingOrder="0"/>
    </dxf>
    <dxf>
      <numFmt numFmtId="167" formatCode="#,##0.0"/>
      <alignment horizontal="center" vertical="bottom" textRotation="0" wrapText="0" indent="0" justifyLastLine="0" shrinkToFit="0" readingOrder="0"/>
    </dxf>
    <dxf>
      <numFmt numFmtId="167" formatCode="#,##0.0"/>
      <alignment horizontal="center" vertical="bottom" textRotation="0" wrapText="0" indent="0" justifyLastLine="0" shrinkToFit="0" readingOrder="0"/>
    </dxf>
    <dxf>
      <numFmt numFmtId="167" formatCode="#,##0.0"/>
      <alignment horizontal="center" vertical="bottom" textRotation="0" wrapText="0" indent="0" justifyLastLine="0" shrinkToFit="0" readingOrder="0"/>
    </dxf>
    <dxf>
      <numFmt numFmtId="167" formatCode="#,##0.0"/>
      <alignment horizontal="center" vertical="bottom" textRotation="0" wrapText="0" indent="0" justifyLastLine="0" shrinkToFit="0" readingOrder="0"/>
    </dxf>
    <dxf>
      <numFmt numFmtId="167" formatCode="#,##0.0"/>
      <alignment horizontal="center" vertical="bottom" textRotation="0" wrapText="0" indent="0" justifyLastLine="0" shrinkToFit="0" readingOrder="0"/>
    </dxf>
    <dxf>
      <numFmt numFmtId="167" formatCode="#,##0.0"/>
      <alignment horizontal="center" vertical="bottom" textRotation="0" wrapText="0" indent="0" justifyLastLine="0" shrinkToFit="0" readingOrder="0"/>
    </dxf>
    <dxf>
      <font>
        <sz val="10"/>
        <color theme="0"/>
      </font>
      <numFmt numFmtId="165" formatCode="0.0%"/>
      <fill>
        <patternFill patternType="solid">
          <fgColor theme="1" tint="0.249977111117893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  <vertical/>
        <horizontal/>
      </border>
    </dxf>
    <dxf>
      <numFmt numFmtId="3" formatCode="#,##0"/>
      <alignment horizontal="center" vertical="bottom" textRotation="0" wrapText="0" indent="0" justifyLastLine="0" shrinkToFit="0" readingOrder="0"/>
    </dxf>
    <dxf>
      <numFmt numFmtId="165" formatCode="0.0%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65" formatCode="0.0%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65" formatCode="0.0%"/>
      <alignment horizontal="center" vertical="bottom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font>
        <sz val="10"/>
      </font>
      <numFmt numFmtId="0" formatCode="General"/>
      <alignment horizontal="left" vertical="center" textRotation="0" wrapText="1" indent="1" justifyLastLine="0" shrinkToFit="0" readingOrder="0"/>
    </dxf>
    <dxf>
      <alignment horizontal="left" vertical="bottom" textRotation="0" wrapText="1" indent="1" justifyLastLine="0" shrinkToFit="0" readingOrder="0"/>
    </dxf>
    <dxf>
      <alignment horizontal="left" vertical="bottom" textRotation="0" wrapText="0" indent="1" justifyLastLine="0" shrinkToFit="0" readingOrder="0"/>
    </dxf>
    <dxf>
      <font>
        <color rgb="FF9C0006"/>
      </font>
      <numFmt numFmtId="164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4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4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rgb="FF9C0006"/>
      </font>
      <numFmt numFmtId="164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border>
        <bottom style="thin">
          <color theme="1" tint="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8"/>
      <tableStyleElement type="headerRow" dxfId="57"/>
      <tableStyleElement type="totalRow" dxfId="56"/>
      <tableStyleElement type="firstColumn" dxfId="55"/>
      <tableStyleElement type="lastColumn" dxfId="54"/>
      <tableStyleElement type="firstRowStripe" dxfId="53"/>
      <tableStyleElement type="secondRowStripe" dxfId="52"/>
      <tableStyleElement type="firstColumnStripe" dxfId="51"/>
    </tableStyle>
  </tableStyles>
  <colors>
    <mruColors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124968</xdr:colOff>
      <xdr:row>2</xdr:row>
      <xdr:rowOff>32766</xdr:rowOff>
    </xdr:from>
    <xdr:to>
      <xdr:col>2</xdr:col>
      <xdr:colOff>2374392</xdr:colOff>
      <xdr:row>2</xdr:row>
      <xdr:rowOff>622554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742188" y="383286"/>
          <a:ext cx="2249424" cy="58978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400" b="1"/>
            <a:t>Field Analysis</a:t>
          </a:r>
        </a:p>
      </xdr:txBody>
    </xdr:sp>
    <xdr:clientData/>
  </xdr:twoCellAnchor>
  <xdr:twoCellAnchor>
    <xdr:from>
      <xdr:col>2</xdr:col>
      <xdr:colOff>124968</xdr:colOff>
      <xdr:row>12</xdr:row>
      <xdr:rowOff>19050</xdr:rowOff>
    </xdr:from>
    <xdr:to>
      <xdr:col>2</xdr:col>
      <xdr:colOff>2374392</xdr:colOff>
      <xdr:row>12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21</xdr:row>
      <xdr:rowOff>19050</xdr:rowOff>
    </xdr:from>
    <xdr:to>
      <xdr:col>2</xdr:col>
      <xdr:colOff>2374392</xdr:colOff>
      <xdr:row>21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31</xdr:row>
      <xdr:rowOff>19050</xdr:rowOff>
    </xdr:from>
    <xdr:to>
      <xdr:col>2</xdr:col>
      <xdr:colOff>2374392</xdr:colOff>
      <xdr:row>31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43</xdr:row>
      <xdr:rowOff>19050</xdr:rowOff>
    </xdr:from>
    <xdr:to>
      <xdr:col>2</xdr:col>
      <xdr:colOff>2374392</xdr:colOff>
      <xdr:row>43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54</xdr:row>
      <xdr:rowOff>19050</xdr:rowOff>
    </xdr:from>
    <xdr:to>
      <xdr:col>2</xdr:col>
      <xdr:colOff>2374392</xdr:colOff>
      <xdr:row>54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67:E70" totalsRowShown="0" dataDxfId="50">
  <autoFilter ref="C67:E70" xr:uid="{DB263373-2B4F-4302-9CF6-5012CE3F1A47}"/>
  <tableColumns count="3">
    <tableColumn id="1" xr3:uid="{B87F6371-B38F-4AA9-8A9B-F1D62600E38F}" name="Record List" dataDxfId="49" dataCellStyle="Normal 2"/>
    <tableColumn id="2" xr3:uid="{55547D6A-0C4F-44F3-8DA7-D9918F9ECA79}" name="Dark Header" dataDxfId="48"/>
    <tableColumn id="8" xr3:uid="{5CEA6B82-08F7-4BBF-BE74-DD211F1E2384}" name="Record Hash" dataDxfId="47" dataCellStyle="Normal 2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7" totalsRowShown="0" headerRowDxfId="46" dataDxfId="0" headerRowBorderDxfId="45" headerRowCellStyle="Normal 2">
  <autoFilter ref="B10:AA17" xr:uid="{7EC467B7-DE9E-48DF-95B5-2995F1F6DE8F}"/>
  <tableColumns count="26">
    <tableColumn id="1" xr3:uid="{CDAE6949-9186-42E8-AEBE-1928381A0155}" name="Field" dataDxfId="25" dataCellStyle="Normal 2"/>
    <tableColumn id="2" xr3:uid="{23CFAD74-B6E8-44CB-A911-A03C28004E4D}" name="Definition" dataDxfId="24" dataCellStyle="Normal 2"/>
    <tableColumn id="3" xr3:uid="{92B45608-BAB5-470F-8B3E-2910EF660813}" name="Field Notes" dataDxfId="23" dataCellStyle="Normal 2"/>
    <tableColumn id="4" xr3:uid="{8387EFA9-4555-4DF4-B699-541F401C46D0}" name="Data type"/>
    <tableColumn id="5" xr3:uid="{DD50C3DA-F4A8-40F0-AFBD-DBF916650F7E}" name="Memory Usage" dataDxfId="22"/>
    <tableColumn id="6" xr3:uid="{8DFFE5A0-8676-4576-AB4D-97E8B31EC097}" name="Memory Usage %" dataDxfId="21"/>
    <tableColumn id="7" xr3:uid="{A0CD56D0-07EF-46CA-BC46-D54CD5E746C7}" name="Distinct" dataDxfId="20"/>
    <tableColumn id="8" xr3:uid="{30CDB1E0-924C-48B4-82F4-9B3E3228BE95}" name="Distinct %" dataDxfId="19"/>
    <tableColumn id="9" xr3:uid="{1C848176-6AC1-44A6-9B3B-F1C9E8BC32EA}" name="Count" dataDxfId="18"/>
    <tableColumn id="10" xr3:uid="{6C6E6A37-4969-459F-AC39-2193366810E2}" name="Count %" dataDxfId="17"/>
    <tableColumn id="11" xr3:uid="{CD47252D-0307-4513-AF7C-13CC4AA1FCD9}" name="Missing" dataDxfId="16"/>
    <tableColumn id="12" xr3:uid="{03824906-BEA5-4B63-A981-21F959B6439E}" name="Missing %" dataDxfId="15" dataCellStyle="Percent 2"/>
    <tableColumn id="13" xr3:uid="{2B45F7F8-CE35-48A6-BB27-9684B5D7936D}" name="Mean" dataDxfId="14"/>
    <tableColumn id="14" xr3:uid="{293386E4-1FA6-4340-9DC6-54CC26209C0A}" name="Median" dataDxfId="13"/>
    <tableColumn id="15" xr3:uid="{29252F5E-4163-4D62-89FC-FF85F6C4755C}" name="Mode" dataDxfId="12"/>
    <tableColumn id="16" xr3:uid="{69FFA3C1-FD1E-4395-AF2E-177FDFCDE62A}" name="Standard Deviation" dataDxfId="11"/>
    <tableColumn id="17" xr3:uid="{2AAB37E9-8AE2-4771-B92B-C04BFABA0B4E}" name="Variance" dataDxfId="10"/>
    <tableColumn id="18" xr3:uid="{07151E41-6633-4A65-A7E1-091F027DEF95}" name="Min" dataDxfId="9"/>
    <tableColumn id="19" xr3:uid="{41A1FD5D-4E5C-45B3-A0C7-1820F89F417F}" name="5%" dataDxfId="8"/>
    <tableColumn id="20" xr3:uid="{50D70984-5A2E-4A19-9F2B-5DA0502339BC}" name="25%" dataDxfId="7"/>
    <tableColumn id="21" xr3:uid="{75FF5489-8FC0-4894-83BC-802076BF1066}" name="50%" dataDxfId="6"/>
    <tableColumn id="22" xr3:uid="{B7FA20A8-EE17-470E-93AD-54011230C113}" name="75%" dataDxfId="5"/>
    <tableColumn id="23" xr3:uid="{378BE758-7A3F-4C04-A75B-FE899B1B0BAD}" name="95%" dataDxfId="4"/>
    <tableColumn id="24" xr3:uid="{818594E7-DC84-4229-81F6-97C1E2E93633}" name="Max" dataDxfId="3"/>
    <tableColumn id="25" xr3:uid="{D8116583-A886-47C1-85E2-D28AD96194AD}" name="Range" dataDxfId="2"/>
    <tableColumn id="26" xr3:uid="{D061AC6A-EAB2-461F-8AB8-E743DC68E666}" name="IQR" dataDxfId="1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I70"/>
  <sheetViews>
    <sheetView tabSelected="1" zoomScale="85" zoomScaleNormal="85" workbookViewId="0">
      <pane xSplit="3" ySplit="6" topLeftCell="D7" activePane="bottomRight" state="frozen"/>
      <selection activeCell="B1" sqref="B1"/>
      <selection pane="topRight" activeCell="F1" sqref="F1"/>
      <selection pane="bottomLeft" activeCell="B5" sqref="B5"/>
      <selection pane="bottomRight" activeCell="D6" sqref="D6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32.88671875" style="8" customWidth="1"/>
    <col min="4" max="5" width="27.77734375" style="1" customWidth="1"/>
    <col min="6" max="16384" width="8.88671875" style="1"/>
  </cols>
  <sheetData>
    <row r="1" spans="1:9" s="56" customFormat="1" ht="31.8" hidden="1" customHeight="1" x14ac:dyDescent="0.3">
      <c r="A1" s="53"/>
      <c r="B1" s="54"/>
      <c r="C1" s="55" t="s">
        <v>22</v>
      </c>
      <c r="D1" s="53"/>
      <c r="E1" s="53"/>
      <c r="F1" s="53"/>
      <c r="G1" s="55"/>
      <c r="H1" s="53"/>
      <c r="I1" s="53"/>
    </row>
    <row r="3" spans="1:9" ht="51.6" customHeight="1" x14ac:dyDescent="0.3">
      <c r="B3" s="3" t="s">
        <v>0</v>
      </c>
      <c r="C3" s="4"/>
      <c r="D3" s="60" t="s">
        <v>1</v>
      </c>
      <c r="E3" s="60" t="s">
        <v>1</v>
      </c>
    </row>
    <row r="4" spans="1:9" ht="10.050000000000001" customHeight="1" x14ac:dyDescent="0.3">
      <c r="B4" s="41"/>
      <c r="C4" s="59"/>
    </row>
    <row r="5" spans="1:9" ht="10.050000000000001" customHeight="1" x14ac:dyDescent="0.3">
      <c r="B5" s="1"/>
      <c r="C5" s="58"/>
    </row>
    <row r="6" spans="1:9" s="7" customFormat="1" ht="30" customHeight="1" x14ac:dyDescent="0.3">
      <c r="B6" s="81"/>
      <c r="C6" s="82" t="s">
        <v>2</v>
      </c>
      <c r="D6" s="83"/>
      <c r="E6" s="83"/>
    </row>
    <row r="7" spans="1:9" ht="10.050000000000001" customHeight="1" x14ac:dyDescent="0.3">
      <c r="B7" s="41"/>
      <c r="C7" s="6"/>
    </row>
    <row r="8" spans="1:9" s="49" customFormat="1" ht="14.4" customHeight="1" outlineLevel="2" x14ac:dyDescent="0.3">
      <c r="B8" s="50"/>
      <c r="C8" s="13" t="s">
        <v>3</v>
      </c>
      <c r="D8" s="47"/>
      <c r="E8" s="47"/>
    </row>
    <row r="9" spans="1:9" s="49" customFormat="1" ht="14.4" customHeight="1" outlineLevel="2" x14ac:dyDescent="0.3">
      <c r="B9" s="51"/>
      <c r="C9" s="16" t="s">
        <v>7</v>
      </c>
      <c r="D9" s="52"/>
      <c r="E9" s="52"/>
    </row>
    <row r="10" spans="1:9" s="49" customFormat="1" ht="14.4" customHeight="1" outlineLevel="2" x14ac:dyDescent="0.3">
      <c r="B10" s="51"/>
      <c r="C10" s="16" t="s">
        <v>10</v>
      </c>
      <c r="D10" s="52"/>
      <c r="E10" s="52"/>
    </row>
    <row r="11" spans="1:9" ht="14.4" customHeight="1" outlineLevel="2" x14ac:dyDescent="0.3">
      <c r="B11" s="15"/>
      <c r="C11" s="30" t="s">
        <v>5</v>
      </c>
      <c r="D11" s="52"/>
      <c r="E11" s="52"/>
    </row>
    <row r="12" spans="1:9" customFormat="1" ht="10.050000000000001" customHeight="1" outlineLevel="2" x14ac:dyDescent="0.3"/>
    <row r="13" spans="1:9" ht="19.95" customHeight="1" outlineLevel="1" x14ac:dyDescent="0.35">
      <c r="B13" s="9" t="s">
        <v>0</v>
      </c>
      <c r="C13" s="10"/>
      <c r="D13" s="46"/>
      <c r="E13" s="8"/>
    </row>
    <row r="14" spans="1:9" ht="10.050000000000001" customHeight="1" outlineLevel="1" x14ac:dyDescent="0.3">
      <c r="B14" s="11"/>
      <c r="C14" s="48"/>
      <c r="D14" s="48"/>
      <c r="E14" s="48"/>
    </row>
    <row r="15" spans="1:9" ht="14.4" customHeight="1" outlineLevel="2" x14ac:dyDescent="0.3">
      <c r="B15" s="15"/>
      <c r="C15" s="13" t="s">
        <v>4</v>
      </c>
      <c r="D15" s="14"/>
      <c r="E15" s="14"/>
    </row>
    <row r="16" spans="1:9" ht="14.4" customHeight="1" outlineLevel="2" x14ac:dyDescent="0.3">
      <c r="B16" s="15"/>
      <c r="C16" s="16" t="s">
        <v>6</v>
      </c>
      <c r="D16" s="14"/>
      <c r="E16" s="14"/>
    </row>
    <row r="17" spans="2:5" ht="14.4" customHeight="1" outlineLevel="2" x14ac:dyDescent="0.3">
      <c r="B17" s="15"/>
      <c r="C17" s="16" t="s">
        <v>8</v>
      </c>
      <c r="D17" s="14"/>
      <c r="E17" s="14"/>
    </row>
    <row r="18" spans="2:5" ht="14.4" customHeight="1" outlineLevel="2" x14ac:dyDescent="0.3">
      <c r="B18" s="15"/>
      <c r="C18" s="30" t="s">
        <v>9</v>
      </c>
      <c r="D18" s="18"/>
      <c r="E18" s="18"/>
    </row>
    <row r="19" spans="2:5" ht="10.050000000000001" customHeight="1" outlineLevel="2" x14ac:dyDescent="0.3">
      <c r="B19" s="11"/>
      <c r="D19" s="8"/>
      <c r="E19" s="8"/>
    </row>
    <row r="20" spans="2:5" ht="150" customHeight="1" outlineLevel="2" x14ac:dyDescent="0.3">
      <c r="B20" s="20"/>
      <c r="C20" s="21"/>
      <c r="D20" s="22"/>
      <c r="E20" s="22"/>
    </row>
    <row r="21" spans="2:5" ht="10.050000000000001" customHeight="1" outlineLevel="2" x14ac:dyDescent="0.3">
      <c r="B21" s="23"/>
      <c r="D21" s="8"/>
      <c r="E21" s="8"/>
    </row>
    <row r="22" spans="2:5" ht="19.95" customHeight="1" outlineLevel="1" x14ac:dyDescent="0.3">
      <c r="B22" s="9" t="s">
        <v>0</v>
      </c>
      <c r="C22" s="10"/>
      <c r="D22" s="8"/>
      <c r="E22" s="8"/>
    </row>
    <row r="23" spans="2:5" s="24" customFormat="1" ht="10.050000000000001" customHeight="1" outlineLevel="1" x14ac:dyDescent="0.3">
      <c r="B23" s="25"/>
      <c r="C23" s="26"/>
      <c r="D23" s="8"/>
      <c r="E23" s="8"/>
    </row>
    <row r="24" spans="2:5" ht="14.4" customHeight="1" outlineLevel="2" x14ac:dyDescent="0.35">
      <c r="B24" s="12"/>
      <c r="C24" s="13" t="s">
        <v>11</v>
      </c>
      <c r="D24" s="27"/>
      <c r="E24" s="27"/>
    </row>
    <row r="25" spans="2:5" ht="14.4" customHeight="1" outlineLevel="2" x14ac:dyDescent="0.3">
      <c r="B25" s="15"/>
      <c r="C25" s="17" t="s">
        <v>12</v>
      </c>
      <c r="D25" s="28"/>
      <c r="E25" s="28"/>
    </row>
    <row r="26" spans="2:5" ht="14.4" customHeight="1" outlineLevel="2" x14ac:dyDescent="0.3">
      <c r="B26" s="15"/>
      <c r="C26" s="16" t="s">
        <v>13</v>
      </c>
      <c r="D26" s="18"/>
      <c r="E26" s="18"/>
    </row>
    <row r="27" spans="2:5" ht="14.4" customHeight="1" outlineLevel="2" x14ac:dyDescent="0.3">
      <c r="B27" s="15"/>
      <c r="C27" s="17" t="s">
        <v>14</v>
      </c>
      <c r="D27" s="29"/>
      <c r="E27" s="29"/>
    </row>
    <row r="28" spans="2:5" ht="14.4" customHeight="1" outlineLevel="2" x14ac:dyDescent="0.3">
      <c r="B28" s="15"/>
      <c r="C28" s="30" t="s">
        <v>15</v>
      </c>
      <c r="D28" s="27"/>
      <c r="E28" s="27"/>
    </row>
    <row r="29" spans="2:5" ht="10.050000000000001" customHeight="1" outlineLevel="2" x14ac:dyDescent="0.3">
      <c r="B29" s="11"/>
      <c r="D29" s="8"/>
      <c r="E29" s="8"/>
    </row>
    <row r="30" spans="2:5" s="24" customFormat="1" ht="150" customHeight="1" outlineLevel="2" x14ac:dyDescent="0.3">
      <c r="B30" s="20"/>
      <c r="C30" s="21"/>
      <c r="D30" s="22"/>
      <c r="E30" s="22"/>
    </row>
    <row r="31" spans="2:5" s="24" customFormat="1" ht="10.050000000000001" customHeight="1" outlineLevel="2" x14ac:dyDescent="0.3">
      <c r="B31" s="20"/>
      <c r="C31" s="31"/>
      <c r="D31" s="8"/>
      <c r="E31" s="8"/>
    </row>
    <row r="32" spans="2:5" ht="19.95" customHeight="1" outlineLevel="1" x14ac:dyDescent="0.3">
      <c r="B32" s="9" t="s">
        <v>0</v>
      </c>
      <c r="C32" s="10"/>
      <c r="D32" s="8"/>
      <c r="E32" s="8"/>
    </row>
    <row r="33" spans="2:5" s="24" customFormat="1" ht="10.050000000000001" customHeight="1" outlineLevel="1" x14ac:dyDescent="0.3">
      <c r="B33" s="25"/>
      <c r="C33" s="26"/>
      <c r="D33" s="8"/>
      <c r="E33" s="8"/>
    </row>
    <row r="34" spans="2:5" ht="14.4" customHeight="1" outlineLevel="2" x14ac:dyDescent="0.35">
      <c r="B34" s="12"/>
      <c r="C34" s="32" t="s">
        <v>16</v>
      </c>
      <c r="D34" s="29"/>
      <c r="E34" s="29"/>
    </row>
    <row r="35" spans="2:5" ht="14.4" customHeight="1" outlineLevel="2" x14ac:dyDescent="0.3">
      <c r="B35" s="11"/>
      <c r="C35" s="33">
        <v>0.05</v>
      </c>
      <c r="D35" s="27"/>
      <c r="E35" s="27"/>
    </row>
    <row r="36" spans="2:5" ht="14.4" customHeight="1" outlineLevel="2" x14ac:dyDescent="0.3">
      <c r="B36" s="11"/>
      <c r="C36" s="34">
        <v>0.25</v>
      </c>
      <c r="D36" s="29"/>
      <c r="E36" s="29"/>
    </row>
    <row r="37" spans="2:5" ht="14.4" customHeight="1" outlineLevel="2" x14ac:dyDescent="0.3">
      <c r="B37" s="11"/>
      <c r="C37" s="33">
        <v>0.5</v>
      </c>
      <c r="D37" s="27"/>
      <c r="E37" s="27"/>
    </row>
    <row r="38" spans="2:5" ht="14.4" customHeight="1" outlineLevel="2" x14ac:dyDescent="0.3">
      <c r="B38" s="11"/>
      <c r="C38" s="34">
        <v>0.75</v>
      </c>
      <c r="D38" s="29"/>
      <c r="E38" s="29"/>
    </row>
    <row r="39" spans="2:5" ht="14.4" customHeight="1" outlineLevel="2" x14ac:dyDescent="0.3">
      <c r="B39" s="11"/>
      <c r="C39" s="33">
        <v>0.95</v>
      </c>
      <c r="D39" s="27"/>
      <c r="E39" s="27"/>
    </row>
    <row r="40" spans="2:5" ht="14.4" customHeight="1" outlineLevel="2" x14ac:dyDescent="0.3">
      <c r="B40" s="11"/>
      <c r="C40" s="34" t="s">
        <v>17</v>
      </c>
      <c r="D40" s="29"/>
      <c r="E40" s="29"/>
    </row>
    <row r="41" spans="2:5" ht="14.4" customHeight="1" outlineLevel="2" x14ac:dyDescent="0.3">
      <c r="B41" s="11"/>
      <c r="C41" s="16" t="s">
        <v>18</v>
      </c>
      <c r="D41" s="27"/>
      <c r="E41" s="27"/>
    </row>
    <row r="42" spans="2:5" ht="14.4" customHeight="1" outlineLevel="2" x14ac:dyDescent="0.3">
      <c r="B42" s="23"/>
      <c r="C42" s="19" t="s">
        <v>19</v>
      </c>
      <c r="D42" s="29"/>
      <c r="E42" s="29"/>
    </row>
    <row r="43" spans="2:5" ht="10.050000000000001" customHeight="1" outlineLevel="2" x14ac:dyDescent="0.3">
      <c r="B43" s="23"/>
      <c r="D43" s="8"/>
      <c r="E43" s="8"/>
    </row>
    <row r="44" spans="2:5" ht="19.95" customHeight="1" outlineLevel="1" x14ac:dyDescent="0.3">
      <c r="B44" s="9" t="s">
        <v>0</v>
      </c>
      <c r="C44" s="10"/>
      <c r="D44" s="8"/>
      <c r="E44" s="8"/>
    </row>
    <row r="45" spans="2:5" ht="10.050000000000001" customHeight="1" outlineLevel="1" x14ac:dyDescent="0.3">
      <c r="B45" s="25"/>
      <c r="D45" s="8"/>
      <c r="E45" s="8"/>
    </row>
    <row r="46" spans="2:5" ht="14.4" customHeight="1" outlineLevel="2" x14ac:dyDescent="0.3">
      <c r="B46" s="41"/>
      <c r="C46" s="35" t="s">
        <v>24</v>
      </c>
      <c r="D46" s="36" t="b">
        <v>0</v>
      </c>
      <c r="E46" s="36" t="b">
        <v>0</v>
      </c>
    </row>
    <row r="47" spans="2:5" ht="14.4" customHeight="1" outlineLevel="2" x14ac:dyDescent="0.3">
      <c r="B47" s="41"/>
      <c r="C47" s="35" t="s">
        <v>25</v>
      </c>
      <c r="D47" s="36" t="b">
        <v>0</v>
      </c>
      <c r="E47" s="36" t="b">
        <v>0</v>
      </c>
    </row>
    <row r="48" spans="2:5" ht="14.4" customHeight="1" outlineLevel="2" x14ac:dyDescent="0.3">
      <c r="B48" s="41"/>
      <c r="C48" s="35" t="s">
        <v>26</v>
      </c>
      <c r="D48" s="36" t="b">
        <v>0</v>
      </c>
      <c r="E48" s="36" t="b">
        <v>0</v>
      </c>
    </row>
    <row r="49" spans="2:5" ht="14.4" customHeight="1" outlineLevel="2" x14ac:dyDescent="0.3">
      <c r="B49" s="41"/>
      <c r="C49" s="35" t="s">
        <v>27</v>
      </c>
      <c r="D49" s="36" t="b">
        <v>0</v>
      </c>
      <c r="E49" s="36" t="b">
        <v>0</v>
      </c>
    </row>
    <row r="50" spans="2:5" ht="14.4" customHeight="1" outlineLevel="2" x14ac:dyDescent="0.3">
      <c r="B50" s="41"/>
      <c r="C50" s="35" t="s">
        <v>28</v>
      </c>
      <c r="D50" s="36" t="b">
        <v>0</v>
      </c>
      <c r="E50" s="36" t="b">
        <v>0</v>
      </c>
    </row>
    <row r="51" spans="2:5" ht="14.4" customHeight="1" outlineLevel="2" x14ac:dyDescent="0.3">
      <c r="B51" s="1"/>
      <c r="C51" s="35" t="s">
        <v>29</v>
      </c>
      <c r="D51" s="36" t="b">
        <v>0</v>
      </c>
      <c r="E51" s="36" t="b">
        <v>0</v>
      </c>
    </row>
    <row r="52" spans="2:5" ht="14.4" customHeight="1" outlineLevel="2" x14ac:dyDescent="0.3">
      <c r="B52" s="1"/>
      <c r="C52" s="35" t="s">
        <v>30</v>
      </c>
      <c r="D52" s="36" t="b">
        <v>0</v>
      </c>
      <c r="E52" s="36" t="b">
        <v>0</v>
      </c>
    </row>
    <row r="53" spans="2:5" ht="14.4" customHeight="1" outlineLevel="2" x14ac:dyDescent="0.3">
      <c r="B53" s="1"/>
      <c r="C53" s="19" t="s">
        <v>31</v>
      </c>
      <c r="D53" s="36" t="b">
        <v>0</v>
      </c>
      <c r="E53" s="36" t="b">
        <v>0</v>
      </c>
    </row>
    <row r="54" spans="2:5" ht="10.050000000000001" customHeight="1" outlineLevel="2" x14ac:dyDescent="0.3">
      <c r="B54" s="20"/>
      <c r="D54" s="8"/>
      <c r="E54" s="8"/>
    </row>
    <row r="55" spans="2:5" ht="19.95" customHeight="1" outlineLevel="1" x14ac:dyDescent="0.3">
      <c r="B55" s="9" t="s">
        <v>0</v>
      </c>
      <c r="C55" s="10"/>
      <c r="D55" s="8"/>
      <c r="E55" s="8"/>
    </row>
    <row r="56" spans="2:5" ht="10.050000000000001" customHeight="1" outlineLevel="1" x14ac:dyDescent="0.3">
      <c r="B56" s="9"/>
      <c r="C56" s="10"/>
      <c r="D56" s="8"/>
      <c r="E56" s="8"/>
    </row>
    <row r="57" spans="2:5" ht="14.4" customHeight="1" outlineLevel="2" x14ac:dyDescent="0.3">
      <c r="B57" s="41"/>
      <c r="C57" s="45" t="str">
        <f>IF(COUNTIF(FieldList1, "&lt;&gt;FALSE") = 0,"",SUBSTITUTE(LOWER(C46)," ","_") &amp;" = ")</f>
        <v/>
      </c>
      <c r="D57" s="44" t="str">
        <f>IF(COUNTIF(FieldList1, "&lt;&gt;FALSE") = 0,"","['"&amp;_xlfn.TEXTJOIN("', '", TRUE, _xlfn._xlws.FILTER(FieldRange,FieldList1&lt;&gt; FALSE, ""))&amp;"']")</f>
        <v/>
      </c>
    </row>
    <row r="58" spans="2:5" ht="14.4" customHeight="1" outlineLevel="2" x14ac:dyDescent="0.3">
      <c r="B58" s="41"/>
      <c r="C58" s="45" t="str">
        <f>IF(COUNTIF(FieldList2, "&lt;&gt;FALSE") = 0,"",SUBSTITUTE(LOWER(C47)," ","_")&amp;" = ")</f>
        <v/>
      </c>
      <c r="D58" s="44" t="str">
        <f>IF(COUNTIF(FieldList2, "&lt;&gt;FALSE") = 0,"","['"&amp;_xlfn.TEXTJOIN("', '", TRUE, _xlfn._xlws.FILTER(FieldRange,FieldList2&lt;&gt; FALSE, ""))&amp;"']")</f>
        <v/>
      </c>
    </row>
    <row r="59" spans="2:5" ht="14.4" customHeight="1" outlineLevel="2" x14ac:dyDescent="0.3">
      <c r="B59" s="41"/>
      <c r="C59" s="45" t="str">
        <f>IF(COUNTIF(FieldList3, "&lt;&gt;FALSE") = 0,"",SUBSTITUTE(LOWER(C48)," ","_")&amp;" = ")</f>
        <v/>
      </c>
      <c r="D59" s="44" t="str">
        <f>IF(COUNTIF(FieldList3, "&lt;&gt;FALSE") = 0,"","['"&amp;_xlfn.TEXTJOIN("', '", TRUE, _xlfn._xlws.FILTER(FieldRange,FieldList3&lt;&gt; FALSE, ""))&amp;"']")</f>
        <v/>
      </c>
    </row>
    <row r="60" spans="2:5" ht="14.4" customHeight="1" outlineLevel="2" x14ac:dyDescent="0.3">
      <c r="B60" s="41"/>
      <c r="C60" s="45" t="str">
        <f>IF(COUNTIF(FieldList4, "&lt;&gt;FALSE") = 0,"",SUBSTITUTE(LOWER(C49)," ","_")&amp;" = ")</f>
        <v/>
      </c>
      <c r="D60" s="44" t="str">
        <f>IF(COUNTIF(FieldList4, "&lt;&gt;FALSE") = 0,"","['"&amp;_xlfn.TEXTJOIN("', '", TRUE, _xlfn._xlws.FILTER(FieldRange,FieldList4&lt;&gt; FALSE, ""))&amp;"']")</f>
        <v/>
      </c>
    </row>
    <row r="61" spans="2:5" ht="14.4" customHeight="1" outlineLevel="2" x14ac:dyDescent="0.3">
      <c r="B61" s="41"/>
      <c r="C61" s="45" t="str">
        <f>IF(COUNTIF(FieldList5, "&lt;&gt;FALSE") = 0,"",SUBSTITUTE(LOWER(C50)," ","_")&amp;" = ")</f>
        <v/>
      </c>
      <c r="D61" s="44" t="str">
        <f>IF(COUNTIF(FieldList5, "&lt;&gt;FALSE") = 0,"","['"&amp;_xlfn.TEXTJOIN("', '", TRUE, _xlfn._xlws.FILTER(FieldRange,FieldList5&lt;&gt; FALSE, ""))&amp;"']")</f>
        <v/>
      </c>
    </row>
    <row r="62" spans="2:5" ht="13.8" customHeight="1" outlineLevel="2" x14ac:dyDescent="0.3">
      <c r="B62" s="41"/>
      <c r="C62" s="45" t="str">
        <f>IF(COUNTIF(FieldList6, "&lt;&gt;FALSE") = 0,"",SUBSTITUTE(LOWER(C51)," ","_")&amp;" = ")</f>
        <v/>
      </c>
      <c r="D62" s="44" t="str">
        <f>IF(COUNTIF(FieldList6, "&lt;&gt;FALSE") = 0,"","['"&amp;_xlfn.TEXTJOIN("', '", TRUE, _xlfn._xlws.FILTER(FieldRange,FieldList6&lt;&gt; FALSE, ""))&amp;"']")</f>
        <v/>
      </c>
    </row>
    <row r="63" spans="2:5" ht="13.8" customHeight="1" outlineLevel="2" x14ac:dyDescent="0.3">
      <c r="B63" s="41"/>
      <c r="C63" s="45" t="str">
        <f>IF(COUNTIF(FieldList7, "&lt;&gt;FALSE") = 0,"",SUBSTITUTE(LOWER(C52)," ","_")&amp;" = ")</f>
        <v/>
      </c>
      <c r="D63" s="44" t="str" cm="1">
        <f t="array" ref="D63">IF(COUNTIF(FieldList7, "&lt;&gt;FALSE") = 0,"","['"&amp;_xlfn.TEXTJOIN("', '", TRUE, _xlfn._xlws.FILTER(FieldRange,FieldList7&lt;&gt; FALSE, ""))&amp;"']")</f>
        <v/>
      </c>
    </row>
    <row r="64" spans="2:5" ht="13.8" customHeight="1" outlineLevel="2" x14ac:dyDescent="0.3">
      <c r="B64" s="41"/>
      <c r="C64" s="45" t="str">
        <f>IF(COUNTIF(FieldList8, "&lt;&gt;FALSE") = 0,"",SUBSTITUTE(LOWER(C53)," ","_")&amp;" = ")</f>
        <v/>
      </c>
      <c r="D64" s="44" t="str" cm="1">
        <f t="array" ref="D64">IF(COUNTIF(FieldList8, "&lt;&gt;FALSE") = 0,"","['"&amp;_xlfn.TEXTJOIN("', '", TRUE, _xlfn._xlws.FILTER(FieldRange,FieldList8&lt;&gt; FALSE, ""))&amp;"']")</f>
        <v/>
      </c>
    </row>
    <row r="65" spans="2:5" ht="14.4" customHeight="1" outlineLevel="2" x14ac:dyDescent="0.3">
      <c r="B65" s="37"/>
      <c r="C65" s="61" t="str">
        <f>IF(COUNTIF(tbl_SourceData[Record List], "&lt;&gt;FALSE") = 0,"",SUBSTITUTE(LOWER(LightHeader)," ", "_") &amp;" = ")</f>
        <v/>
      </c>
      <c r="D65" s="44" t="str" cm="1">
        <f t="array" ref="D65">IF(COUNTIF(tbl_SourceData[Record List], "&lt;&gt;FALSE") = 0,"","['"&amp;_xlfn.TEXTJOIN("', '", TRUE, _xlfn._xlws.FILTER(_xlfn.TAKE(tbl_SourceData[],,-1), tbl_SourceData[Record List] &lt;&gt; FALSE, ""))&amp;"']")</f>
        <v/>
      </c>
    </row>
    <row r="66" spans="2:5" ht="10.050000000000001" customHeight="1" outlineLevel="2" x14ac:dyDescent="0.3">
      <c r="B66" s="20"/>
      <c r="C66" s="38"/>
      <c r="D66" s="39"/>
      <c r="E66" s="39"/>
    </row>
    <row r="67" spans="2:5" ht="30" customHeight="1" x14ac:dyDescent="0.3">
      <c r="C67" s="79" t="s">
        <v>23</v>
      </c>
      <c r="D67" s="40" t="s">
        <v>21</v>
      </c>
      <c r="E67" s="40" t="s">
        <v>20</v>
      </c>
    </row>
    <row r="68" spans="2:5" x14ac:dyDescent="0.3">
      <c r="C68" s="42" t="b">
        <v>0</v>
      </c>
      <c r="D68" s="43"/>
      <c r="E68" s="43"/>
    </row>
    <row r="69" spans="2:5" x14ac:dyDescent="0.3">
      <c r="C69" s="42" t="b">
        <v>0</v>
      </c>
      <c r="D69" s="43"/>
      <c r="E69" s="43"/>
    </row>
    <row r="70" spans="2:5" x14ac:dyDescent="0.3">
      <c r="C70" s="42" t="b">
        <v>0</v>
      </c>
      <c r="D70" s="43"/>
      <c r="E70" s="43"/>
    </row>
  </sheetData>
  <phoneticPr fontId="15" type="noConversion"/>
  <conditionalFormatting sqref="D20:E20 D66:E66">
    <cfRule type="cellIs" dxfId="44" priority="30" operator="equal">
      <formula>"Notes"</formula>
    </cfRule>
  </conditionalFormatting>
  <conditionalFormatting sqref="D24:E28 D34:E42 D8:E8 D15:E20">
    <cfRule type="cellIs" dxfId="43" priority="31" operator="equal">
      <formula>0</formula>
    </cfRule>
  </conditionalFormatting>
  <conditionalFormatting sqref="D30:E30">
    <cfRule type="cellIs" dxfId="42" priority="29" operator="equal">
      <formula>"Notes"</formula>
    </cfRule>
  </conditionalFormatting>
  <conditionalFormatting sqref="C68:C70">
    <cfRule type="cellIs" dxfId="41" priority="27" operator="equal">
      <formula>FALSE</formula>
    </cfRule>
    <cfRule type="cellIs" dxfId="40" priority="28" operator="notEqual">
      <formula>FALSE</formula>
    </cfRule>
  </conditionalFormatting>
  <conditionalFormatting sqref="D46:E53">
    <cfRule type="cellIs" dxfId="39" priority="25" operator="equal">
      <formula>FALSE</formula>
    </cfRule>
    <cfRule type="cellIs" dxfId="38" priority="26" operator="notEqual">
      <formula>FALSE</formula>
    </cfRule>
  </conditionalFormatting>
  <conditionalFormatting sqref="D3:E3">
    <cfRule type="cellIs" dxfId="37" priority="22" operator="notEqual">
      <formula>"Notes"</formula>
    </cfRule>
  </conditionalFormatting>
  <conditionalFormatting sqref="D9:E11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C67 C46:C53">
    <cfRule type="duplicateValues" dxfId="36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dimension ref="B2:AA17"/>
  <sheetViews>
    <sheetView zoomScaleNormal="100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27.77734375" style="1" customWidth="1"/>
    <col min="4" max="4" width="27.77734375" customWidth="1"/>
    <col min="5" max="5" width="13.109375" bestFit="1" customWidth="1"/>
    <col min="6" max="6" width="17.5546875" bestFit="1" customWidth="1"/>
    <col min="7" max="7" width="19.33203125" customWidth="1"/>
    <col min="8" max="8" width="11.44140625" bestFit="1" customWidth="1"/>
    <col min="9" max="9" width="13.21875" bestFit="1" customWidth="1"/>
    <col min="10" max="10" width="10.109375" bestFit="1" customWidth="1"/>
    <col min="11" max="11" width="12" bestFit="1" customWidth="1"/>
    <col min="12" max="12" width="11.44140625" bestFit="1" customWidth="1"/>
    <col min="13" max="13" width="13.21875" bestFit="1" customWidth="1"/>
    <col min="14" max="14" width="12" bestFit="1" customWidth="1"/>
    <col min="15" max="15" width="11.44140625" bestFit="1" customWidth="1"/>
    <col min="16" max="16" width="10.109375" bestFit="1" customWidth="1"/>
    <col min="17" max="17" width="20.5546875" bestFit="1" customWidth="1"/>
    <col min="18" max="18" width="12.21875" bestFit="1" customWidth="1"/>
    <col min="19" max="19" width="8.5546875" bestFit="1" customWidth="1"/>
    <col min="20" max="20" width="7.77734375" bestFit="1" customWidth="1"/>
    <col min="21" max="24" width="8.77734375" bestFit="1" customWidth="1"/>
    <col min="25" max="25" width="8.88671875" bestFit="1" customWidth="1"/>
    <col min="26" max="26" width="10.33203125" bestFit="1" customWidth="1"/>
    <col min="27" max="27" width="8.44140625" bestFit="1" customWidth="1"/>
  </cols>
  <sheetData>
    <row r="2" spans="2:27" ht="96" customHeight="1" x14ac:dyDescent="0.3">
      <c r="B2" s="63" t="s">
        <v>46</v>
      </c>
      <c r="C2" s="85" t="s">
        <v>33</v>
      </c>
      <c r="D2" s="86"/>
      <c r="E2" s="86"/>
    </row>
    <row r="3" spans="2:27" ht="10.050000000000001" customHeight="1" x14ac:dyDescent="0.3">
      <c r="C3" s="73"/>
    </row>
    <row r="4" spans="2:27" x14ac:dyDescent="0.3">
      <c r="B4" s="13" t="s">
        <v>34</v>
      </c>
      <c r="C4" s="90"/>
    </row>
    <row r="5" spans="2:27" x14ac:dyDescent="0.3">
      <c r="B5" s="13" t="s">
        <v>35</v>
      </c>
      <c r="C5" s="91"/>
    </row>
    <row r="6" spans="2:27" x14ac:dyDescent="0.3">
      <c r="B6" s="30" t="s">
        <v>4</v>
      </c>
      <c r="C6" s="91"/>
      <c r="F6" s="72"/>
    </row>
    <row r="7" spans="2:27" x14ac:dyDescent="0.3">
      <c r="B7" s="16" t="s">
        <v>7</v>
      </c>
      <c r="C7" s="71"/>
    </row>
    <row r="8" spans="2:27" x14ac:dyDescent="0.3">
      <c r="B8" s="30" t="s">
        <v>10</v>
      </c>
      <c r="C8" s="74"/>
      <c r="D8" s="64"/>
    </row>
    <row r="9" spans="2:27" ht="24" customHeight="1" x14ac:dyDescent="0.3">
      <c r="B9" s="49"/>
      <c r="C9" s="75"/>
      <c r="D9" s="64"/>
    </row>
    <row r="10" spans="2:27" ht="37.200000000000003" customHeight="1" x14ac:dyDescent="0.3">
      <c r="B10" s="76" t="s">
        <v>36</v>
      </c>
      <c r="C10" s="76" t="s">
        <v>37</v>
      </c>
      <c r="D10" s="76" t="s">
        <v>38</v>
      </c>
      <c r="E10" s="77" t="s">
        <v>3</v>
      </c>
      <c r="F10" s="77" t="s">
        <v>4</v>
      </c>
      <c r="G10" s="77" t="s">
        <v>5</v>
      </c>
      <c r="H10" s="77" t="s">
        <v>6</v>
      </c>
      <c r="I10" s="77" t="s">
        <v>7</v>
      </c>
      <c r="J10" s="77" t="s">
        <v>8</v>
      </c>
      <c r="K10" s="77" t="s">
        <v>40</v>
      </c>
      <c r="L10" s="77" t="s">
        <v>9</v>
      </c>
      <c r="M10" s="77" t="s">
        <v>10</v>
      </c>
      <c r="N10" s="77" t="s">
        <v>11</v>
      </c>
      <c r="O10" s="77" t="s">
        <v>12</v>
      </c>
      <c r="P10" s="77" t="s">
        <v>13</v>
      </c>
      <c r="Q10" s="77" t="s">
        <v>14</v>
      </c>
      <c r="R10" s="77" t="s">
        <v>15</v>
      </c>
      <c r="S10" s="77" t="s">
        <v>16</v>
      </c>
      <c r="T10" s="77" t="s">
        <v>41</v>
      </c>
      <c r="U10" s="77" t="s">
        <v>42</v>
      </c>
      <c r="V10" s="77" t="s">
        <v>43</v>
      </c>
      <c r="W10" s="77" t="s">
        <v>44</v>
      </c>
      <c r="X10" s="77" t="s">
        <v>45</v>
      </c>
      <c r="Y10" s="77" t="s">
        <v>17</v>
      </c>
      <c r="Z10" s="77" t="s">
        <v>18</v>
      </c>
      <c r="AA10" s="77" t="s">
        <v>19</v>
      </c>
    </row>
    <row r="11" spans="2:27" x14ac:dyDescent="0.3">
      <c r="B11" s="65"/>
      <c r="C11" s="66"/>
      <c r="D11" s="66"/>
      <c r="F11" s="87"/>
      <c r="G11" s="71"/>
      <c r="H11" s="89"/>
      <c r="I11" s="71"/>
      <c r="J11" s="89"/>
      <c r="K11" s="88"/>
      <c r="L11" s="89"/>
      <c r="M11" s="92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  <c r="AA11" s="93"/>
    </row>
    <row r="12" spans="2:27" x14ac:dyDescent="0.3">
      <c r="B12" s="67"/>
      <c r="C12" s="68"/>
      <c r="D12" s="66"/>
      <c r="F12" s="87"/>
      <c r="G12" s="88"/>
      <c r="H12" s="89"/>
      <c r="I12" s="88"/>
      <c r="J12" s="89"/>
      <c r="K12" s="88"/>
      <c r="L12" s="89"/>
      <c r="M12" s="92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3"/>
    </row>
    <row r="13" spans="2:27" x14ac:dyDescent="0.3">
      <c r="B13" s="69"/>
      <c r="C13" s="70"/>
      <c r="D13" s="66"/>
      <c r="F13" s="87"/>
      <c r="G13" s="88"/>
      <c r="H13" s="89"/>
      <c r="I13" s="88"/>
      <c r="J13" s="89"/>
      <c r="K13" s="88"/>
      <c r="L13" s="89"/>
      <c r="M13" s="92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  <c r="AA13" s="93"/>
    </row>
    <row r="14" spans="2:27" x14ac:dyDescent="0.3">
      <c r="B14" s="67"/>
      <c r="C14" s="68"/>
      <c r="D14" s="66"/>
      <c r="F14" s="87"/>
      <c r="G14" s="88"/>
      <c r="H14" s="89"/>
      <c r="I14" s="88"/>
      <c r="J14" s="89"/>
      <c r="K14" s="88"/>
      <c r="L14" s="89"/>
      <c r="M14" s="92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</row>
    <row r="15" spans="2:27" x14ac:dyDescent="0.3">
      <c r="B15" s="67"/>
      <c r="C15" s="68"/>
      <c r="D15" s="66"/>
      <c r="F15" s="87"/>
      <c r="G15" s="88"/>
      <c r="H15" s="89"/>
      <c r="I15" s="88"/>
      <c r="J15" s="89"/>
      <c r="K15" s="88"/>
      <c r="L15" s="89"/>
      <c r="M15" s="92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</row>
    <row r="16" spans="2:27" x14ac:dyDescent="0.3">
      <c r="B16" s="67"/>
      <c r="C16" s="68"/>
      <c r="D16" s="66"/>
      <c r="F16" s="87"/>
      <c r="G16" s="88"/>
      <c r="H16" s="89"/>
      <c r="I16" s="88"/>
      <c r="J16" s="89"/>
      <c r="K16" s="88"/>
      <c r="L16" s="89"/>
      <c r="M16" s="92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</row>
    <row r="17" spans="2:27" x14ac:dyDescent="0.3">
      <c r="B17" s="67"/>
      <c r="C17" s="68"/>
      <c r="D17" s="66"/>
      <c r="F17" s="87"/>
      <c r="G17" s="88"/>
      <c r="H17" s="89"/>
      <c r="I17" s="88"/>
      <c r="J17" s="89"/>
      <c r="K17" s="88"/>
      <c r="L17" s="89"/>
      <c r="M17" s="92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  <c r="AA17" s="93"/>
    </row>
  </sheetData>
  <mergeCells count="1">
    <mergeCell ref="C2:E2"/>
  </mergeCells>
  <conditionalFormatting sqref="C7:C8">
    <cfRule type="colorScale" priority="5">
      <colorScale>
        <cfvo type="num" val="0"/>
        <cfvo type="num" val="0.2"/>
        <color theme="1"/>
        <color rgb="FF7A0000"/>
      </colorScale>
    </cfRule>
  </conditionalFormatting>
  <conditionalFormatting sqref="I11:I17">
    <cfRule type="colorScale" priority="1">
      <colorScale>
        <cfvo type="num" val="0"/>
        <cfvo type="num" val="0.2"/>
        <color theme="1"/>
        <color rgb="FF7A0000"/>
      </colorScale>
    </cfRule>
  </conditionalFormatting>
  <conditionalFormatting sqref="G11:G17">
    <cfRule type="colorScale" priority="2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workbookViewId="0">
      <selection activeCell="B4" sqref="B4:P4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62" t="s">
        <v>32</v>
      </c>
    </row>
    <row r="3" spans="1:16" ht="10.050000000000001" customHeight="1" thickBot="1" x14ac:dyDescent="0.35">
      <c r="B3" s="1"/>
      <c r="C3" s="6"/>
    </row>
    <row r="4" spans="1:16" ht="30" customHeight="1" thickBot="1" x14ac:dyDescent="0.35">
      <c r="B4" s="78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37.44140625" style="8" customWidth="1"/>
    <col min="5" max="5" width="27.77734375" style="1" customWidth="1"/>
    <col min="6" max="16384" width="8.88671875" style="1"/>
  </cols>
  <sheetData>
    <row r="2" spans="2:5" ht="51.6" customHeight="1" x14ac:dyDescent="0.3">
      <c r="C2" s="57"/>
      <c r="D2" s="62" t="s">
        <v>39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84"/>
      <c r="D4" s="82" t="s">
        <v>2</v>
      </c>
      <c r="E4" s="83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35" priority="3" operator="equal">
      <formula>"Notes"</formula>
    </cfRule>
  </conditionalFormatting>
  <conditionalFormatting sqref="E6:E7">
    <cfRule type="cellIs" dxfId="34" priority="4" operator="equal">
      <formula>0</formula>
    </cfRule>
  </conditionalFormatting>
  <conditionalFormatting sqref="E2">
    <cfRule type="cellIs" dxfId="33" priority="1" operator="equal">
      <formula>"Notes"</formula>
    </cfRule>
    <cfRule type="cellIs" dxfId="32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35</vt:i4>
      </vt:variant>
    </vt:vector>
  </HeadingPairs>
  <TitlesOfParts>
    <vt:vector size="39" baseType="lpstr">
      <vt:lpstr>Field Analysis</vt:lpstr>
      <vt:lpstr>Overview</vt:lpstr>
      <vt:lpstr>SinglePlot</vt:lpstr>
      <vt:lpstr>MultiplePlots</vt:lpstr>
      <vt:lpstr>Compiled_Lists</vt:lpstr>
      <vt:lpstr>Composition</vt:lpstr>
      <vt:lpstr>CompositionTable</vt:lpstr>
      <vt:lpstr>DarkHeader</vt:lpstr>
      <vt:lpstr>Dimensions</vt:lpstr>
      <vt:lpstr>Field_Analysis</vt:lpstr>
      <vt:lpstr>Field_Lists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Overview</vt:lpstr>
      <vt:lpstr>Percentiles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2026-05-17T01:01:04Z</dcterms:modified>
</cp:coreProperties>
</file>