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EC84133B-1900-48B9-93D5-8CA0BCE0C7E6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Analysis'!$E$15:$F$15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Analysis'!$E$58:$F$58</definedName>
    <definedName name="FieldList1" localSheetId="5">#REF!</definedName>
    <definedName name="FieldList1" localSheetId="4">#REF!</definedName>
    <definedName name="FieldList2" localSheetId="0">'Field Analysis'!$E$59:$F$59</definedName>
    <definedName name="FieldList2" localSheetId="5">#REF!</definedName>
    <definedName name="FieldList2" localSheetId="4">#REF!</definedName>
    <definedName name="FieldList3" localSheetId="0">'Field Analysis'!$E$60:$F$60</definedName>
    <definedName name="FieldList3" localSheetId="5">#REF!</definedName>
    <definedName name="FieldList3" localSheetId="4">#REF!</definedName>
    <definedName name="FieldList4" localSheetId="0">'Field Analysis'!$E$61:$F$61</definedName>
    <definedName name="FieldList4" localSheetId="5">#REF!</definedName>
    <definedName name="FieldList4" localSheetId="4">#REF!</definedName>
    <definedName name="FieldList5" localSheetId="0">'Field Analysis'!$E$62:$F$62</definedName>
    <definedName name="FieldList5" localSheetId="5">#REF!</definedName>
    <definedName name="FieldList5" localSheetId="4">#REF!</definedName>
    <definedName name="FieldList6" localSheetId="0">'Field Analysis'!$E$63:$F$63</definedName>
    <definedName name="FieldList6" localSheetId="5">#REF!</definedName>
    <definedName name="FieldList6" localSheetId="4">#REF!</definedName>
    <definedName name="FieldList7" localSheetId="0">'Field Analysis'!$E$64:$F$64</definedName>
    <definedName name="FieldList7" localSheetId="5">#REF!</definedName>
    <definedName name="FieldList7" localSheetId="4">#REF!</definedName>
    <definedName name="FieldList8" localSheetId="0">'Field Analysis'!$E$65:$F$65</definedName>
    <definedName name="FieldList8" localSheetId="5">#REF!</definedName>
    <definedName name="FieldList8" localSheetId="4">#REF!</definedName>
    <definedName name="FieldLists" localSheetId="0">'Field Analysis'!$D$58:$F$65</definedName>
    <definedName name="FieldRange" localSheetId="0">'Field Analysis'!$E$79:$F$79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Analysis'!$E$19:$F$19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Analysis'!$E$17:$F$17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Analysis'!$C$19:$G$19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27" l="1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<sst xmlns="http://schemas.openxmlformats.org/spreadsheetml/2006/main" count="133" uniqueCount="91">
  <si>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</si>
  <si>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</si>
  <si>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</si>
  <si>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</si>
  <si>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</si>
  <si>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</si>
  <si>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</si>
  <si>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</si>
  <si>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</si>
  <si>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</si>
  <si>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</si>
  <si>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</si>
  <si>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</si>
  <si>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</si>
  <si>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</si>
  <si>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</si>
  <si>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</si>
  <si>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</si>
  <si>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</si>
  <si>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</si>
  <si>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</si>
  <si>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</si>
  <si>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</si>
  <si>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</si>
  <si>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</si>
  <si>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</si>
  <si>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</si>
  <si>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</si>
  <si>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</si>
  <si>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</si>
  <si>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</si>
  <si>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</si>
  <si>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</si>
  <si>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</si>
  <si>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</si>
  <si>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</si>
  <si>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</si>
  <si>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</si>
  <si>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</si>
  <si>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DarkHeader</t>
  </si>
  <si>
    <t>HasBlank</t>
  </si>
  <si>
    <t>FormatRange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</si>
  <si>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</si>
  <si>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</si>
  <si>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</si>
  <si>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</si>
  <si>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</si>
  <si>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</si>
  <si>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</si>
  <si>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</si>
  <si>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</si>
  <si>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</si>
  <si>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</si>
  <si>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</si>
  <si>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</si>
  <si>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</si>
  <si>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</si>
  <si>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</si>
  <si>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</si>
  <si>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Name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</si>
  <si>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</si>
  <si>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</si>
  <si>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</si>
  <si>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</si>
  <si>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</si>
  <si>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</si>
  <si>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</si>
  <si>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</si>
  <si>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</si>
  <si>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</si>
  <si>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</si>
  <si>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</si>
  <si>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</si>
  <si>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</si>
  <si>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</si>
  <si>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</si>
  <si>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</si>
  <si>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</si>
  <si>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 Field Metadata</t>
  </si>
  <si>
    <t>Add Overview</t>
  </si>
  <si>
    <t>Adding Source Data</t>
  </si>
  <si>
    <t>Adding Plots</t>
  </si>
  <si>
    <t>Configuring Pivots</t>
  </si>
  <si>
    <t>Configuring Workbook</t>
  </si>
  <si>
    <t>Dataset</t>
  </si>
  <si>
    <t>Activity</t>
  </si>
  <si>
    <t>Datatype</t>
  </si>
  <si>
    <t>% of Total Production Time</t>
  </si>
  <si>
    <t>Input Argument</t>
  </si>
  <si>
    <t>Error Type</t>
  </si>
  <si>
    <t>Detail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</si>
</sst>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15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6" borderId="0" xfId="0" applyFill="1"/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4" fillId="7" borderId="0" xfId="7" applyFill="1">
      <alignment horizontal="center" vertical="center" wrapText="1"/>
    </xf>
    <xf numFmtId="0" fontId="4" fillId="8" borderId="0" xfId="7" applyFill="1">
      <alignment horizontal="center" vertical="center" wrapText="1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/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0" fontId="19" fillId="8" borderId="15" xfId="0" applyFont="1" applyFill="1" applyBorder="1"/>
    <xf numFmtId="164" fontId="8" fillId="3" borderId="0" xfId="0" applyNumberFormat="1" applyFont="1" applyFill="1" applyAlignment="1">
      <alignment horizontal="center" vertical="center" wrapText="1"/>
    </xf>
    <xf numFmtId="10" fontId="0" fillId="2" borderId="0" xfId="0" applyNumberFormat="1" applyAlignment="1">
      <alignment horizontal="center" vertical="center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20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1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8" fillId="2" borderId="0" xfId="0" applyFont="1"/>
    <xf numFmtId="165" fontId="28" fillId="2" borderId="0" xfId="0" applyNumberFormat="1" applyFont="1" applyAlignment="1">
      <alignment horizontal="center" vertical="center" wrapText="1"/>
    </xf>
    <xf numFmtId="0" fontId="30" fillId="2" borderId="0" xfId="0" applyFont="1" applyAlignment="1">
      <alignment horizontal="left" vertical="center"/>
    </xf>
    <xf numFmtId="0" fontId="23" fillId="2" borderId="0" xfId="0" applyFont="1" applyAlignment="1">
      <alignment horizontal="left"/>
    </xf>
    <xf numFmtId="0" fontId="23" fillId="2" borderId="0" xfId="0" applyFont="1"/>
    <xf numFmtId="0" fontId="4" fillId="2" borderId="0" xfId="0" applyFont="1" applyAlignment="1">
      <alignment horizontal="left" vertical="center"/>
    </xf>
    <xf numFmtId="0" fontId="28" fillId="2" borderId="0" xfId="7" applyFont="1" applyAlignment="1">
      <alignment horizontal="left" vertical="center" wrapText="1" indent="1"/>
    </xf>
    <xf numFmtId="3" fontId="32" fillId="2" borderId="0" xfId="0" applyNumberFormat="1" applyFont="1" applyAlignment="1">
      <alignment horizontal="center" vertical="center"/>
    </xf>
    <xf numFmtId="3" fontId="28" fillId="2" borderId="0" xfId="0" applyNumberFormat="1" applyFont="1" applyAlignment="1">
      <alignment horizontal="center" vertical="center"/>
    </xf>
    <xf numFmtId="3" fontId="28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5" fillId="2" borderId="0" xfId="0" applyNumberFormat="1" applyFont="1" applyAlignment="1">
      <alignment vertical="center"/>
    </xf>
    <xf numFmtId="3" fontId="26" fillId="2" borderId="0" xfId="4" applyNumberFormat="1" applyFont="1" applyBorder="1" applyAlignment="1">
      <alignment horizontal="left" vertical="center"/>
    </xf>
    <xf numFmtId="3" fontId="27" fillId="2" borderId="0" xfId="4" applyNumberFormat="1" applyFont="1" applyBorder="1" applyAlignment="1">
      <alignment horizontal="left" vertical="center"/>
    </xf>
    <xf numFmtId="3" fontId="25" fillId="6" borderId="18" xfId="7" applyNumberFormat="1" applyFont="1" applyFill="1" applyBorder="1" applyAlignment="1">
      <alignment horizontal="left" vertical="center" wrapText="1" indent="1"/>
    </xf>
    <xf numFmtId="3" fontId="25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0" fillId="2" borderId="0" xfId="0" applyNumberFormat="1" applyFont="1" applyAlignment="1">
      <alignment horizontal="left"/>
    </xf>
    <xf numFmtId="3" fontId="23" fillId="2" borderId="0" xfId="0" applyNumberFormat="1" applyFont="1" applyAlignment="1">
      <alignment horizontal="left"/>
    </xf>
    <xf numFmtId="3" fontId="23" fillId="2" borderId="0" xfId="0" applyNumberFormat="1" applyFont="1"/>
    <xf numFmtId="3" fontId="30" fillId="2" borderId="0" xfId="0" applyNumberFormat="1" applyFont="1" applyAlignment="1">
      <alignment horizontal="left" vertical="center"/>
    </xf>
    <xf numFmtId="3" fontId="28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29" fillId="6" borderId="19" xfId="7" applyNumberFormat="1" applyFont="1" applyFill="1" applyBorder="1">
      <alignment horizontal="center" vertical="center" wrapText="1"/>
    </xf>
    <xf numFmtId="3" fontId="29" fillId="6" borderId="21" xfId="7" applyNumberFormat="1" applyFont="1" applyFill="1" applyBorder="1">
      <alignment horizontal="center" vertical="center" wrapText="1"/>
    </xf>
    <xf numFmtId="3" fontId="28" fillId="2" borderId="20" xfId="7" applyNumberFormat="1" applyFont="1" applyBorder="1" applyAlignment="1">
      <alignment horizontal="left" vertical="center" wrapText="1" indent="1"/>
    </xf>
    <xf numFmtId="3" fontId="28" fillId="2" borderId="23" xfId="7" applyNumberFormat="1" applyFont="1" applyBorder="1" applyAlignment="1">
      <alignment horizontal="left" vertical="center" wrapText="1" indent="1"/>
    </xf>
    <xf numFmtId="3" fontId="31" fillId="6" borderId="19" xfId="7" applyNumberFormat="1" applyFont="1" applyFill="1" applyBorder="1">
      <alignment horizontal="center" vertical="center" wrapText="1"/>
    </xf>
    <xf numFmtId="3" fontId="31" fillId="6" borderId="21" xfId="7" applyNumberFormat="1" applyFont="1" applyFill="1" applyBorder="1">
      <alignment horizontal="center" vertical="center" wrapText="1"/>
    </xf>
    <xf numFmtId="3" fontId="28" fillId="9" borderId="14" xfId="0" applyNumberFormat="1" applyFont="1" applyFill="1" applyBorder="1" applyAlignment="1">
      <alignment horizontal="center"/>
    </xf>
    <xf numFmtId="3" fontId="28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28" fillId="9" borderId="14" xfId="0" applyNumberFormat="1" applyFont="1" applyFill="1" applyBorder="1" applyAlignment="1">
      <alignment horizontal="center"/>
    </xf>
    <xf numFmtId="3" fontId="29" fillId="6" borderId="21" xfId="7" applyNumberFormat="1" applyFont="1" applyFill="1" applyBorder="1" applyAlignment="1">
      <alignment horizontal="left" vertical="center" wrapText="1"/>
    </xf>
    <xf numFmtId="3" fontId="28" fillId="9" borderId="23" xfId="7" applyNumberFormat="1" applyFont="1" applyFill="1" applyBorder="1" applyAlignment="1">
      <alignment horizontal="left" vertical="center" wrapText="1" indent="1"/>
    </xf>
    <xf numFmtId="3" fontId="28" fillId="9" borderId="25" xfId="7" applyNumberFormat="1" applyFont="1" applyFill="1" applyBorder="1" applyAlignment="1">
      <alignment horizontal="left" vertical="center" wrapText="1" indent="1"/>
    </xf>
    <xf numFmtId="3" fontId="28" fillId="9" borderId="20" xfId="0" applyNumberFormat="1" applyFont="1" applyFill="1" applyBorder="1" applyAlignment="1">
      <alignment horizontal="left" indent="1"/>
    </xf>
    <xf numFmtId="3" fontId="28" fillId="9" borderId="14" xfId="0" applyNumberFormat="1" applyFont="1" applyFill="1" applyBorder="1" applyAlignment="1">
      <alignment horizontal="left" indent="1"/>
    </xf>
    <xf numFmtId="3" fontId="31" fillId="6" borderId="18" xfId="7" applyNumberFormat="1" applyFont="1" applyFill="1" applyBorder="1" applyAlignment="1">
      <alignment horizontal="left" vertical="center" wrapText="1" indent="1"/>
    </xf>
    <xf numFmtId="3" fontId="31" fillId="6" borderId="19" xfId="7" applyNumberFormat="1" applyFont="1" applyFill="1" applyBorder="1" applyAlignment="1">
      <alignment horizontal="left" vertical="center" wrapText="1" indent="1"/>
    </xf>
    <xf numFmtId="3" fontId="31" fillId="6" borderId="19" xfId="7" applyNumberFormat="1" applyFont="1" applyFill="1" applyBorder="1" applyAlignment="1">
      <alignment horizontal="center" vertical="center" wrapText="1"/>
    </xf>
    <xf numFmtId="3" fontId="29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20" fillId="2" borderId="0" xfId="0" applyNumberFormat="1" applyFont="1" applyBorder="1" applyAlignment="1">
      <alignment horizontal="left"/>
    </xf>
    <xf numFmtId="164" fontId="28" fillId="2" borderId="22" xfId="9" applyNumberFormat="1" applyFont="1" applyFill="1" applyBorder="1" applyAlignment="1">
      <alignment horizontal="center" vertical="center"/>
    </xf>
    <xf numFmtId="164" fontId="28" fillId="2" borderId="25" xfId="9" applyNumberFormat="1" applyFont="1" applyFill="1" applyBorder="1" applyAlignment="1">
      <alignment horizontal="center" vertical="center"/>
    </xf>
    <xf numFmtId="165" fontId="28" fillId="2" borderId="14" xfId="0" applyNumberFormat="1" applyFont="1" applyBorder="1" applyAlignment="1">
      <alignment horizontal="center"/>
    </xf>
    <xf numFmtId="165" fontId="28" fillId="2" borderId="24" xfId="0" applyNumberFormat="1" applyFont="1" applyBorder="1" applyAlignment="1">
      <alignment horizontal="center"/>
    </xf>
    <xf numFmtId="4" fontId="28" fillId="9" borderId="14" xfId="0" applyNumberFormat="1" applyFont="1" applyFill="1" applyBorder="1" applyAlignment="1">
      <alignment horizontal="center"/>
    </xf>
    <xf numFmtId="3" fontId="28" fillId="2" borderId="0" xfId="7" applyNumberFormat="1" applyFont="1" applyBorder="1" applyAlignment="1">
      <alignment horizontal="left" vertical="center" wrapText="1" indent="1"/>
    </xf>
    <xf numFmtId="165" fontId="28" fillId="2" borderId="0" xfId="0" applyNumberFormat="1" applyFont="1" applyBorder="1" applyAlignment="1">
      <alignment horizontal="center"/>
    </xf>
    <xf numFmtId="164" fontId="28" fillId="2" borderId="0" xfId="9" applyNumberFormat="1" applyFont="1" applyFill="1" applyBorder="1" applyAlignment="1">
      <alignment horizontal="center" vertical="center"/>
    </xf>
    <xf numFmtId="0" fontId="24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21"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horizontal="left"/>
    </dxf>
    <dxf>
      <alignment horizont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fill>
        <patternFill>
          <bgColor rgb="FF000000"/>
        </patternFill>
      </fill>
    </dxf>
    <dxf>
      <alignment horizontal="center"/>
    </dxf>
    <dxf>
      <alignment vertical="center"/>
    </dxf>
    <dxf>
      <numFmt numFmtId="14" formatCode="0.00%"/>
    </dxf>
    <dxf>
      <alignment horizontal="center"/>
    </dxf>
    <dxf>
      <alignment wrapText="1"/>
    </dxf>
    <dxf>
      <alignment wrapText="1"/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left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ill>
        <patternFill patternType="solid">
          <fgColor indexed="64"/>
          <bgColor rgb="FF26262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ill>
        <patternFill patternType="solid">
          <fgColor indexed="64"/>
          <bgColor rgb="FF000000"/>
        </patternFill>
      </fill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ill>
        <patternFill patternType="solid">
          <fgColor indexed="64"/>
          <bgColor rgb="FF000000"/>
        </patternFill>
      </fill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ill>
        <patternFill patternType="solid">
          <fgColor indexed="64"/>
          <bgColor rgb="FF000000"/>
        </patternFill>
      </fill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0"/>
      <tableStyleElement type="headerRow" dxfId="119"/>
      <tableStyleElement type="totalRow" dxfId="118"/>
    </tableStyle>
    <tableStyle name="DarkTable" pivot="0" count="2" xr9:uid="{97C242D2-6F6D-4549-9428-17456D609B35}">
      <tableStyleElement type="wholeTable" dxfId="117"/>
      <tableStyleElement type="headerRow" dxfId="116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9.744098611111" createdVersion="8" refreshedVersion="8" minRefreshableVersion="3" recordCount="2" xr:uid="{00DEDBB6-1F4A-4C10-B2D2-FF41FE7983D3}">
  <cacheSource type="worksheet">
    <worksheetSource name="tbl_SourceData"/>
  </cacheSource>
  <cacheFields count="4">
    <cacheField name="Record List" numFmtId="0">
      <sharedItems/>
    </cacheField>
    <cacheField name="DarkHeader" numFmtId="0">
      <sharedItems containsNonDate="0" containsString="0" containsBlank="1"/>
    </cacheField>
    <cacheField name="HasBlank" numFmtId="0">
      <sharedItems containsNonDate="0" containsString="0" containsBlank="1"/>
    </cacheField>
    <cacheField name="FormatRan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b v="0"/>
    <m/>
    <m/>
    <m/>
  </r>
  <r>
    <b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E10" firstHeaderRow="0" firstDataRow="1" firstDataCol="0"/>
  <pivotFields count="4">
    <pivotField compact="0" outline="0" showAll="0"/>
    <pivotField compact="0" outline="0" showAll="0"/>
    <pivotField dataField="1" compact="0" outline="0" showAll="0"/>
    <pivotField compact="0" outline="0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" subtotal="average" baseField="0" baseItem="1" numFmtId="164"/>
    <dataField name="% of Total Blanks" fld="2" showDataAs="percentOfTotal" baseField="0" baseItem="1" numFmtId="164"/>
    <dataField name="% of Records" fld="2" subtotal="count" showDataAs="percentOfTotal" baseField="0" baseItem="2" numFmtId="10"/>
  </dataFields>
  <formats count="19">
    <format dxfId="37">
      <pivotArea type="all" dataOnly="0" outline="0" fieldPosition="0"/>
    </format>
    <format dxfId="36">
      <pivotArea outline="0" collapsedLevelsAreSubtotals="1" fieldPosition="0"/>
    </format>
    <format dxfId="35">
      <pivotArea dataOnly="0" labelOnly="1" grandRow="1" outline="0" fieldPosition="0"/>
    </format>
    <format dxfId="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">
      <pivotArea type="all" dataOnly="0" outline="0" fieldPosition="0"/>
    </format>
    <format dxfId="32">
      <pivotArea dataOnly="0" outline="0" fieldPosition="0">
        <references count="1">
          <reference field="4294967294" count="1">
            <x v="0"/>
          </reference>
        </references>
      </pivotArea>
    </format>
    <format dxfId="31">
      <pivotArea outline="0" fieldPosition="0">
        <references count="1">
          <reference field="4294967294" count="1">
            <x v="0"/>
          </reference>
        </references>
      </pivotArea>
    </format>
    <format dxfId="30">
      <pivotArea outline="0" fieldPosition="0">
        <references count="1">
          <reference field="4294967294" count="1">
            <x v="1"/>
          </reference>
        </references>
      </pivotArea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dataOnly="0" labelOnly="1" grandRow="1" outline="0" fieldPosition="0"/>
    </format>
    <format dxfId="2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5">
      <pivotArea outline="0" fieldPosition="0">
        <references count="1">
          <reference field="4294967294" count="1" selected="0">
            <x v="1"/>
          </reference>
        </references>
      </pivotArea>
    </format>
    <format dxfId="24">
      <pivotArea dataOnly="0" outline="0" fieldPosition="0">
        <references count="1">
          <reference field="4294967294" count="1">
            <x v="1"/>
          </reference>
        </references>
      </pivotArea>
    </format>
    <format dxfId="23">
      <pivotArea type="all" dataOnly="0" outline="0" fieldPosition="0"/>
    </format>
    <format dxfId="22">
      <pivotArea type="all" dataOnly="0" outline="0" fieldPosition="0"/>
    </format>
    <format dxfId="21">
      <pivotArea outline="0" fieldPosition="0">
        <references count="1">
          <reference field="4294967294" count="1">
            <x v="2"/>
          </reference>
        </references>
      </pivotArea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G81" totalsRowShown="0" dataDxfId="71" headerRowCellStyle="DarkHeader" dataCellStyle="Normal">
  <autoFilter ref="D79:G81" xr:uid="{DB1D1E60-5E37-456A-AD85-0649D531840E}"/>
  <tableColumns count="4">
    <tableColumn id="1" xr3:uid="{57EDF41E-F06D-4819-BADE-3D62DE46F06C}" name="Record List" dataDxfId="70" dataCellStyle="Normal"/>
    <tableColumn id="2" xr3:uid="{CF70C9CE-83FE-40FA-8089-C68B39CF665A}" name="DarkHeader" dataDxfId="69" dataCellStyle="Normal"/>
    <tableColumn id="3" xr3:uid="{B8654690-502A-4FAF-9205-0118DABCB954}" name="HasBlank" dataDxfId="68" dataCellStyle="Normal"/>
    <tableColumn id="4" xr3:uid="{5A5BA001-2F93-4E62-880C-C4E8BDB17EEB}" name="FormatRange" dataDxfId="67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2" totalsRowShown="0" headerRowDxfId="66" dataDxfId="64" headerRowBorderDxfId="65">
  <autoFilter ref="B11:AA12" xr:uid="{034D1C74-BE18-490E-B396-097D407DA97D}"/>
  <tableColumns count="26">
    <tableColumn id="1" xr3:uid="{010A8E62-502A-4B19-B37A-BF59E03A068A}" name="Field" dataDxfId="63"/>
    <tableColumn id="2" xr3:uid="{AD236665-EC7C-404F-8915-AD7CD5510D0F}" name="Definition" dataDxfId="62"/>
    <tableColumn id="3" xr3:uid="{B78AB378-5727-433E-AB9C-BB970FC42B31}" name="Field Notes" dataDxfId="61"/>
    <tableColumn id="4" xr3:uid="{EF15AE67-FE31-471E-840E-8104B878A3E8}" name="Data type" dataDxfId="60"/>
    <tableColumn id="5" xr3:uid="{5006D683-9D12-4B97-9EF2-6D41AF6E0B35}" name="Distinct %" dataDxfId="59"/>
    <tableColumn id="6" xr3:uid="{3AFB42F8-9976-44FF-9239-74914D5BE035}" name="Missing %" dataDxfId="58"/>
    <tableColumn id="7" xr3:uid="{4BA41102-DB06-4180-9754-C88722FE82BD}" name="Memory Usage %" dataDxfId="57"/>
    <tableColumn id="8" xr3:uid="{D22319BD-3A80-40F3-84FC-A6D1627B2F29}" name="Memory Usage" dataDxfId="56"/>
    <tableColumn id="9" xr3:uid="{77FAEE19-B6C7-4056-8EF3-5EB877C820C4}" name="Distinct" dataDxfId="55"/>
    <tableColumn id="10" xr3:uid="{54FF47BF-594E-417B-9028-64A4DFE4D389}" name="Count" dataDxfId="54"/>
    <tableColumn id="11" xr3:uid="{54E587FE-36DC-4522-91DC-8B81B386217B}" name="Count %" dataDxfId="53"/>
    <tableColumn id="12" xr3:uid="{0DE21D83-93B1-480C-BE9C-379DA0E532C7}" name="Missing" dataDxfId="52"/>
    <tableColumn id="13" xr3:uid="{C4B407B9-B7FB-4DFC-A6B3-885C816BAF99}" name="Mean" dataDxfId="51"/>
    <tableColumn id="14" xr3:uid="{9796FD8E-D568-43E1-AC6E-BFAE7C7B7017}" name="Median" dataDxfId="50"/>
    <tableColumn id="15" xr3:uid="{A6A7BCED-DD2F-4B41-A84C-2F2674A38A53}" name="Mode" dataDxfId="49"/>
    <tableColumn id="16" xr3:uid="{46607FA5-244C-49C2-997C-B64EB2E94FDE}" name="Standard Deviation" dataDxfId="48"/>
    <tableColumn id="17" xr3:uid="{80BA1782-4C46-45CE-B3FB-40B70BA09AF9}" name="Variance" dataDxfId="47"/>
    <tableColumn id="18" xr3:uid="{EC3C5A76-EF95-419C-87A8-D8885B542521}" name="Min" dataDxfId="46"/>
    <tableColumn id="19" xr3:uid="{BFE545F8-810C-4F0A-A0B2-FF0AB9764A07}" name="5%" dataDxfId="45"/>
    <tableColumn id="20" xr3:uid="{77D31A9B-57B1-4422-8EF9-6320F00E0DB9}" name="25%" dataDxfId="44"/>
    <tableColumn id="21" xr3:uid="{7A350787-F0EA-4E65-B596-5D7253E75CD6}" name="50%" dataDxfId="43"/>
    <tableColumn id="22" xr3:uid="{FB4C260E-A19F-4908-9DBF-DB4AC630982A}" name="75%" dataDxfId="42"/>
    <tableColumn id="23" xr3:uid="{FBECC9F1-5BC8-4774-9475-EB2D6D28F1E2}" name="95%" dataDxfId="41"/>
    <tableColumn id="24" xr3:uid="{839CD532-ED80-4544-A8C8-E9E036764A84}" name="Max" dataDxfId="40"/>
    <tableColumn id="25" xr3:uid="{9DDA1FD6-82B1-4FBE-8BBD-B40C331930D2}" name="Range" dataDxfId="39"/>
    <tableColumn id="26" xr3:uid="{902A027A-FD65-44D4-B3D0-5B3883ACFA39}" name="IQR" dataDxfId="3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48" totalsRowShown="0" headerRowDxfId="115" dataDxfId="113" headerRowBorderDxfId="114" tableBorderDxfId="112" totalsRowBorderDxfId="111" headerRowCellStyle="DarkHeader">
  <autoFilter ref="C45:J48" xr:uid="{DD504193-DD3B-4BC5-B491-CD13C900E1D0}"/>
  <tableColumns count="8">
    <tableColumn id="1" xr3:uid="{428A065A-E650-48CD-82D8-DCD52C6ADF49}" name="Dataset" dataDxfId="110"/>
    <tableColumn id="2" xr3:uid="{59A978F6-B8DD-476D-83D1-DF4156BF2B65}" name="Field" dataDxfId="109"/>
    <tableColumn id="4" xr3:uid="{F13FAD31-2DAD-46F1-87AA-89BB89F55C7D}" name="Activity" dataDxfId="108"/>
    <tableColumn id="3" xr3:uid="{EEC05A6B-8FC2-4E70-83F0-CD177B8B3640}" name="Datatype" dataDxfId="107"/>
    <tableColumn id="5" xr3:uid="{393C3242-A398-4640-8F14-23E67E5E58DD}" name="Rows" dataDxfId="106" dataCellStyle="Comma"/>
    <tableColumn id="6" xr3:uid="{FD0E5439-87A1-4303-9EA2-539C332536D5}" name="Columns" dataDxfId="105"/>
    <tableColumn id="7" xr3:uid="{8B1A0719-0FD5-40F2-A5A8-CFCFA32E014A}" name="Production Time" dataDxfId="104"/>
    <tableColumn id="8" xr3:uid="{B5BE7F10-5FBA-44EF-8324-B95D2ABA2298}" name="% of Total Production Time" dataDxfId="103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1" totalsRowShown="0" headerRowDxfId="102" dataDxfId="100" headerRowBorderDxfId="101" tableBorderDxfId="99" totalsRowBorderDxfId="98">
  <tableColumns count="3">
    <tableColumn id="1" xr3:uid="{FFACC0FF-000E-4785-9C1A-22F01E7C2644}" name="Production Section" dataDxfId="97" dataCellStyle="DarkHeader"/>
    <tableColumn id="2" xr3:uid="{6A06C42D-D4AD-45CE-A81D-0918B410EAA9}" name="Production Time in Seconds" dataDxfId="96"/>
    <tableColumn id="3" xr3:uid="{2643AF23-A2E5-4438-810D-7531CB2D2E4E}" name="% of Production Time" dataDxfId="95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94" dataDxfId="92" headerRowBorderDxfId="93" tableBorderDxfId="91">
  <tableColumns count="2">
    <tableColumn id="1" xr3:uid="{9623C5AE-E7C2-4493-9B72-08667C9B2C60}" name="Environment Variable" dataDxfId="90" dataCellStyle="DarkHeader"/>
    <tableColumn id="2" xr3:uid="{E5E357AA-48FB-47EA-928A-80845B0CD7C9}" name="Value" dataDxfId="8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11" totalsRowShown="0" headerRowBorderDxfId="88" tableBorderDxfId="87" totalsRowBorderDxfId="86">
  <autoFilter ref="F9:G11" xr:uid="{A6117933-3C15-4FC8-ADF4-0EC66304DEE1}"/>
  <tableColumns count="2">
    <tableColumn id="1" xr3:uid="{EC70458D-5C3D-497C-AA06-AFCBD688FBDA}" name="Input Argument" dataDxfId="85" dataCellStyle="DarkHeader"/>
    <tableColumn id="2" xr3:uid="{FCA8AE27-3D46-4152-9A03-0F3EFBA2366A}" name="Value" dataDxfId="84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1" totalsRowShown="0" headerRowBorderDxfId="83" tableBorderDxfId="82" totalsRowBorderDxfId="81">
  <autoFilter ref="I9:J11" xr:uid="{6AF89CD0-DF40-4046-87D4-2BF660DDE636}"/>
  <tableColumns count="2">
    <tableColumn id="1" xr3:uid="{27FA7240-202E-4FAB-AD4A-DC169AFD6F56}" name="Error Type" dataDxfId="80" dataCellStyle="DarkHeader"/>
    <tableColumn id="2" xr3:uid="{C21354E4-3682-4AA0-B73A-2E689C89258C}" name="Detail" dataDxfId="79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81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79" sqref="E79"/>
    </sheetView>
  </sheetViews>
  <sheetFormatPr defaultColWidth="15.6640625" defaultRowHeight="15" customHeight="1" outlineLevelRow="2"/>
  <cols>
    <col min="1" max="1" width="0.88671875" customWidth="1"/>
    <col min="2" max="2" width="3" style="50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59</v>
      </c>
      <c r="D3" s="31"/>
    </row>
    <row r="4" spans="1:23" ht="10.199999999999999" customHeight="1"/>
    <row r="5" spans="1:23" ht="14.4">
      <c r="B5" s="32"/>
      <c r="C5" s="83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80"/>
      <c r="E7" s="150" t="s">
        <v>60</v>
      </c>
      <c r="F7" s="151"/>
      <c r="G7" s="45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84"/>
    </row>
    <row r="10" spans="1:23" ht="15" hidden="1" customHeight="1" outlineLevel="1">
      <c r="B10" s="32"/>
      <c r="C10" s="32"/>
      <c r="D10" s="82" t="s">
        <v>56</v>
      </c>
      <c r="E10" s="42"/>
    </row>
    <row r="11" spans="1:23" s="50" customFormat="1" ht="15" hidden="1" customHeight="1" outlineLevel="1">
      <c r="B11" s="32"/>
      <c r="C11" s="32"/>
      <c r="D11" s="82" t="s">
        <v>13</v>
      </c>
      <c r="E11" s="42"/>
    </row>
    <row r="12" spans="1:23" s="50" customFormat="1" ht="15" hidden="1" customHeight="1" outlineLevel="1">
      <c r="B12" s="32"/>
      <c r="C12" s="32"/>
      <c r="D12" s="82" t="s">
        <v>57</v>
      </c>
      <c r="E12" s="78"/>
    </row>
    <row r="13" spans="1:23" s="50" customFormat="1" ht="15" hidden="1" customHeight="1" outlineLevel="1">
      <c r="B13" s="32"/>
      <c r="D13" s="3" t="s">
        <v>58</v>
      </c>
      <c r="E13" s="79"/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85" t="s">
        <v>43</v>
      </c>
      <c r="F15" s="86" t="s">
        <v>43</v>
      </c>
      <c r="G15" s="86" t="s">
        <v>43</v>
      </c>
    </row>
    <row r="16" spans="1:23" ht="10.199999999999999" hidden="1" customHeight="1" outlineLevel="1">
      <c r="B16" s="32"/>
      <c r="C16" s="32"/>
    </row>
    <row r="17" spans="1:7" ht="34.950000000000003" hidden="1" customHeight="1" outlineLevel="1">
      <c r="D17" s="30" t="s">
        <v>4</v>
      </c>
      <c r="E17" s="87" t="s">
        <v>52</v>
      </c>
      <c r="F17" s="88" t="s">
        <v>52</v>
      </c>
      <c r="G17" s="89" t="s">
        <v>52</v>
      </c>
    </row>
    <row r="18" spans="1:7" ht="10.199999999999999" hidden="1" customHeight="1" outlineLevel="1"/>
    <row r="19" spans="1:7" s="35" customFormat="1" ht="30" customHeight="1" collapsed="1">
      <c r="A19"/>
      <c r="B19" s="50"/>
      <c r="C19" s="39"/>
      <c r="D19" s="39" t="s">
        <v>5</v>
      </c>
      <c r="E19" s="40"/>
      <c r="F19" s="40"/>
      <c r="G19" s="40"/>
    </row>
    <row r="20" spans="1:7" ht="10.199999999999999" customHeight="1"/>
    <row r="21" spans="1:7" ht="14.4" outlineLevel="1">
      <c r="B21" s="32"/>
      <c r="C21" s="83" t="s">
        <v>1</v>
      </c>
      <c r="D21" s="2" t="s">
        <v>8</v>
      </c>
    </row>
    <row r="22" spans="1:7" ht="10.199999999999999" customHeight="1" outlineLevel="1">
      <c r="B22" s="32"/>
      <c r="C22" s="32"/>
    </row>
    <row r="23" spans="1:7" ht="15" hidden="1" customHeight="1" outlineLevel="2">
      <c r="B23" s="32"/>
      <c r="C23" s="32"/>
      <c r="D23" s="28" t="s">
        <v>9</v>
      </c>
      <c r="E23" s="18"/>
      <c r="F23" s="18"/>
      <c r="G23" s="18"/>
    </row>
    <row r="24" spans="1:7" ht="15" hidden="1" customHeight="1" outlineLevel="2">
      <c r="B24" s="32"/>
      <c r="C24" s="32"/>
      <c r="D24" s="3" t="s">
        <v>10</v>
      </c>
      <c r="E24" s="19"/>
      <c r="F24" s="19"/>
      <c r="G24" s="19"/>
    </row>
    <row r="25" spans="1:7" ht="15" hidden="1" customHeight="1" outlineLevel="2">
      <c r="B25" s="32"/>
      <c r="C25" s="32"/>
      <c r="D25" s="27" t="s">
        <v>11</v>
      </c>
      <c r="E25" s="19"/>
      <c r="F25" s="19"/>
      <c r="G25" s="19"/>
    </row>
    <row r="26" spans="1:7" ht="15" hidden="1" customHeight="1" outlineLevel="2">
      <c r="B26" s="32"/>
      <c r="C26" s="32"/>
      <c r="D26" s="27" t="s">
        <v>12</v>
      </c>
      <c r="E26" s="19"/>
      <c r="F26" s="19"/>
      <c r="G26" s="19"/>
    </row>
    <row r="27" spans="1:7" ht="15" hidden="1" customHeight="1" outlineLevel="2">
      <c r="B27" s="32"/>
      <c r="C27" s="32"/>
      <c r="D27" s="27" t="s">
        <v>13</v>
      </c>
      <c r="E27" s="20"/>
      <c r="F27" s="20"/>
      <c r="G27" s="20"/>
    </row>
    <row r="28" spans="1:7" ht="15" hidden="1" customHeight="1" outlineLevel="2">
      <c r="B28" s="32"/>
      <c r="C28" s="32"/>
      <c r="D28" s="27" t="s">
        <v>14</v>
      </c>
      <c r="E28" s="20"/>
      <c r="F28" s="20"/>
      <c r="G28" s="20"/>
    </row>
    <row r="29" spans="1:7" ht="15" hidden="1" customHeight="1" outlineLevel="2">
      <c r="B29" s="32"/>
      <c r="C29" s="32"/>
      <c r="D29" s="28" t="s">
        <v>15</v>
      </c>
      <c r="E29" s="20"/>
      <c r="F29" s="20"/>
      <c r="G29" s="20"/>
    </row>
    <row r="30" spans="1:7" ht="15" hidden="1" customHeight="1" outlineLevel="2">
      <c r="B30" s="32"/>
      <c r="C30" s="32"/>
      <c r="D30" s="3" t="s">
        <v>16</v>
      </c>
      <c r="E30" s="20"/>
      <c r="F30" s="20"/>
      <c r="G30" s="20"/>
    </row>
    <row r="31" spans="1:7" ht="10.199999999999999" hidden="1" customHeight="1" outlineLevel="2">
      <c r="B31" s="32"/>
      <c r="C31" s="32"/>
    </row>
    <row r="32" spans="1:7" ht="150" hidden="1" customHeight="1" outlineLevel="2"/>
    <row r="33" spans="2:7" ht="10.199999999999999" hidden="1" customHeight="1" outlineLevel="2"/>
    <row r="34" spans="2:7" ht="14.4" outlineLevel="1" collapsed="1">
      <c r="B34" s="32"/>
      <c r="C34" s="83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/>
      <c r="F36" s="21"/>
      <c r="G36" s="21"/>
    </row>
    <row r="37" spans="2:7" ht="15" hidden="1" customHeight="1" outlineLevel="2">
      <c r="B37" s="32"/>
      <c r="C37" s="32"/>
      <c r="D37" s="27" t="s">
        <v>19</v>
      </c>
      <c r="E37" s="21"/>
      <c r="F37" s="21"/>
      <c r="G37" s="21"/>
    </row>
    <row r="38" spans="2:7" ht="15" hidden="1" customHeight="1" outlineLevel="2">
      <c r="B38" s="32"/>
      <c r="C38" s="32"/>
      <c r="D38" s="27" t="s">
        <v>20</v>
      </c>
      <c r="E38" s="21"/>
      <c r="F38" s="21"/>
      <c r="G38" s="21"/>
    </row>
    <row r="39" spans="2:7" ht="15" hidden="1" customHeight="1" outlineLevel="2">
      <c r="B39" s="32"/>
      <c r="C39" s="32"/>
      <c r="D39" s="3" t="s">
        <v>21</v>
      </c>
      <c r="E39" s="21"/>
      <c r="F39" s="21"/>
      <c r="G39" s="21"/>
    </row>
    <row r="40" spans="2:7" ht="15" hidden="1" customHeight="1" outlineLevel="2">
      <c r="B40" s="32"/>
      <c r="C40" s="32"/>
      <c r="D40" s="29" t="s">
        <v>22</v>
      </c>
      <c r="E40" s="21"/>
      <c r="F40" s="21"/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83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/>
      <c r="F46" s="21"/>
      <c r="G46" s="21"/>
    </row>
    <row r="47" spans="2:7" ht="15" hidden="1" customHeight="1" outlineLevel="2">
      <c r="B47" s="32"/>
      <c r="C47" s="32"/>
      <c r="D47" s="27">
        <v>0.05</v>
      </c>
      <c r="E47" s="21"/>
      <c r="F47" s="21"/>
      <c r="G47" s="21"/>
    </row>
    <row r="48" spans="2:7" ht="15" hidden="1" customHeight="1" outlineLevel="2">
      <c r="B48" s="32"/>
      <c r="C48" s="32"/>
      <c r="D48" s="28">
        <v>0.25</v>
      </c>
      <c r="E48" s="21"/>
      <c r="F48" s="21"/>
      <c r="G48" s="21"/>
    </row>
    <row r="49" spans="1:7" ht="15" hidden="1" customHeight="1" outlineLevel="2">
      <c r="B49" s="32"/>
      <c r="C49" s="32"/>
      <c r="D49" s="3">
        <v>0.5</v>
      </c>
      <c r="E49" s="21"/>
      <c r="F49" s="21"/>
      <c r="G49" s="21"/>
    </row>
    <row r="50" spans="1:7" ht="15" hidden="1" customHeight="1" outlineLevel="2">
      <c r="B50" s="32"/>
      <c r="C50" s="32"/>
      <c r="D50" s="27">
        <v>0.75</v>
      </c>
      <c r="E50" s="21"/>
      <c r="F50" s="21"/>
      <c r="G50" s="21"/>
    </row>
    <row r="51" spans="1:7" ht="15" hidden="1" customHeight="1" outlineLevel="2">
      <c r="B51" s="32"/>
      <c r="C51" s="32"/>
      <c r="D51" s="27">
        <v>0.95</v>
      </c>
      <c r="E51" s="21"/>
      <c r="F51" s="21"/>
      <c r="G51" s="21"/>
    </row>
    <row r="52" spans="1:7" ht="15" hidden="1" customHeight="1" outlineLevel="2">
      <c r="B52" s="32"/>
      <c r="C52" s="32"/>
      <c r="D52" s="3" t="s">
        <v>25</v>
      </c>
      <c r="E52" s="21"/>
      <c r="F52" s="21"/>
      <c r="G52" s="21"/>
    </row>
    <row r="53" spans="1:7" ht="15" hidden="1" customHeight="1" outlineLevel="2">
      <c r="B53" s="32"/>
      <c r="C53" s="32"/>
      <c r="D53" s="27" t="s">
        <v>26</v>
      </c>
      <c r="E53" s="21"/>
      <c r="F53" s="21"/>
      <c r="G53" s="21"/>
    </row>
    <row r="54" spans="1:7" ht="15" hidden="1" customHeight="1" outlineLevel="2">
      <c r="D54" s="3" t="s">
        <v>27</v>
      </c>
      <c r="E54" s="21"/>
      <c r="F54" s="21"/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83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65" t="b">
        <v>0</v>
      </c>
      <c r="F58" s="65" t="b">
        <v>0</v>
      </c>
      <c r="G58" s="65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65" t="b">
        <v>0</v>
      </c>
      <c r="F59" s="65" t="b">
        <v>0</v>
      </c>
      <c r="G59" s="65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65" t="b">
        <v>0</v>
      </c>
      <c r="F60" s="65" t="b">
        <v>0</v>
      </c>
      <c r="G60" s="65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65" t="b">
        <v>0</v>
      </c>
      <c r="F61" s="65" t="b">
        <v>0</v>
      </c>
      <c r="G61" s="65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65" t="b">
        <v>0</v>
      </c>
      <c r="F62" s="65" t="b">
        <v>0</v>
      </c>
      <c r="G62" s="65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65" t="b">
        <v>0</v>
      </c>
      <c r="F63" s="65" t="b">
        <v>0</v>
      </c>
      <c r="G63" s="65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65" t="b">
        <v>0</v>
      </c>
      <c r="F64" s="65" t="b">
        <v>0</v>
      </c>
      <c r="G64" s="65" t="b">
        <v>0</v>
      </c>
    </row>
    <row r="65" spans="1:7" ht="15" hidden="1" customHeight="1" outlineLevel="2">
      <c r="D65" s="3" t="s">
        <v>36</v>
      </c>
      <c r="E65" s="65" t="b">
        <v>0</v>
      </c>
      <c r="F65" s="65" t="b">
        <v>0</v>
      </c>
      <c r="G65" s="65" t="b">
        <v>0</v>
      </c>
    </row>
    <row r="66" spans="1:7" ht="10.199999999999999" hidden="1" customHeight="1" outlineLevel="2"/>
    <row r="67" spans="1:7" ht="14.4" outlineLevel="1" collapsed="1">
      <c r="A67" s="32"/>
      <c r="B67" s="32"/>
      <c r="C67" s="83" t="s">
        <v>1</v>
      </c>
      <c r="D67" s="2" t="s">
        <v>37</v>
      </c>
    </row>
    <row r="68" spans="1:7" ht="9.9" customHeight="1" outlineLevel="1">
      <c r="A68" s="32"/>
      <c r="B68" s="32"/>
    </row>
    <row r="69" spans="1: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7" ht="10.199999999999999" hidden="1" customHeight="1" outlineLevel="1" collapsed="1"/>
    <row r="79" spans="1:7" ht="30" customHeight="1">
      <c r="D79" s="48" t="s">
        <v>38</v>
      </c>
      <c r="E79" s="47" t="s">
        <v>39</v>
      </c>
      <c r="F79" s="47" t="s">
        <v>40</v>
      </c>
      <c r="G79" s="47" t="s">
        <v>41</v>
      </c>
    </row>
    <row r="80" spans="1:7" ht="15" customHeight="1">
      <c r="D80" s="74" t="b">
        <v>0</v>
      </c>
      <c r="E80" s="66"/>
      <c r="F80" s="66"/>
      <c r="G80" s="66"/>
    </row>
    <row r="81" spans="4:7" ht="15" customHeight="1">
      <c r="D81" s="74" t="b">
        <v>0</v>
      </c>
      <c r="E81" s="66"/>
      <c r="F81" s="66"/>
      <c r="G81" s="66"/>
    </row>
  </sheetData>
  <mergeCells count="1">
    <mergeCell ref="E7:F7"/>
  </mergeCells>
  <conditionalFormatting sqref="E23:G30 E36:G40 E46:G54">
    <cfRule type="cellIs" dxfId="78" priority="19" operator="equal">
      <formula>0</formula>
    </cfRule>
  </conditionalFormatting>
  <conditionalFormatting sqref="D80:D81">
    <cfRule type="cellIs" dxfId="77" priority="18" operator="notEqual">
      <formula>FALSE</formula>
    </cfRule>
  </conditionalFormatting>
  <conditionalFormatting sqref="E17:G17">
    <cfRule type="cellIs" dxfId="76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75" priority="13"/>
  </conditionalFormatting>
  <conditionalFormatting sqref="E15:G15">
    <cfRule type="cellIs" dxfId="74" priority="11" operator="notEqual">
      <formula>"Definition"</formula>
    </cfRule>
  </conditionalFormatting>
  <conditionalFormatting sqref="E7">
    <cfRule type="cellIs" dxfId="73" priority="10" operator="notEqual">
      <formula>"Dataset Description"</formula>
    </cfRule>
  </conditionalFormatting>
  <conditionalFormatting sqref="E58:G65">
    <cfRule type="cellIs" dxfId="72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2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50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tr">
        <f>'Field Analysis'!Name</f>
        <v>Name</v>
      </c>
      <c r="AA3" s="7"/>
    </row>
    <row r="4" spans="1:27" ht="10.199999999999999" customHeight="1">
      <c r="B4" s="45"/>
      <c r="AA4" s="8"/>
    </row>
    <row r="5" spans="1:27" ht="15" customHeight="1">
      <c r="B5" s="44" t="s">
        <v>7</v>
      </c>
      <c r="C5" s="41"/>
      <c r="AA5" s="9"/>
    </row>
    <row r="6" spans="1:27" ht="15" customHeight="1">
      <c r="B6" s="43" t="s">
        <v>56</v>
      </c>
      <c r="C6" s="42"/>
      <c r="AA6" s="4"/>
    </row>
    <row r="7" spans="1:27" ht="15" customHeight="1">
      <c r="B7" s="43" t="s">
        <v>13</v>
      </c>
      <c r="C7" s="42"/>
      <c r="AA7" s="4"/>
    </row>
    <row r="8" spans="1:27" ht="15" customHeight="1">
      <c r="B8" s="43" t="s">
        <v>57</v>
      </c>
      <c r="C8" s="78"/>
      <c r="D8" s="4"/>
    </row>
    <row r="9" spans="1:27" ht="15" customHeight="1">
      <c r="B9" s="46" t="s">
        <v>58</v>
      </c>
      <c r="C9" s="79"/>
      <c r="D9" s="6"/>
    </row>
    <row r="10" spans="1:27" ht="24" customHeight="1"/>
    <row r="11" spans="1:27" ht="40.200000000000003" customHeight="1">
      <c r="B11" s="72" t="s">
        <v>42</v>
      </c>
      <c r="C11" s="72" t="s">
        <v>43</v>
      </c>
      <c r="D11" s="72" t="s">
        <v>2</v>
      </c>
      <c r="E11" s="73" t="s">
        <v>9</v>
      </c>
      <c r="F11" s="73" t="s">
        <v>10</v>
      </c>
      <c r="G11" s="73" t="s">
        <v>11</v>
      </c>
      <c r="H11" s="73" t="s">
        <v>12</v>
      </c>
      <c r="I11" s="73" t="s">
        <v>13</v>
      </c>
      <c r="J11" s="73" t="s">
        <v>14</v>
      </c>
      <c r="K11" s="73" t="s">
        <v>15</v>
      </c>
      <c r="L11" s="73" t="s">
        <v>44</v>
      </c>
      <c r="M11" s="73" t="s">
        <v>16</v>
      </c>
      <c r="N11" s="73" t="s">
        <v>18</v>
      </c>
      <c r="O11" s="73" t="s">
        <v>19</v>
      </c>
      <c r="P11" s="73" t="s">
        <v>20</v>
      </c>
      <c r="Q11" s="73" t="s">
        <v>21</v>
      </c>
      <c r="R11" s="73" t="s">
        <v>22</v>
      </c>
      <c r="S11" s="73" t="s">
        <v>24</v>
      </c>
      <c r="T11" s="73" t="s">
        <v>45</v>
      </c>
      <c r="U11" s="73" t="s">
        <v>46</v>
      </c>
      <c r="V11" s="73" t="s">
        <v>47</v>
      </c>
      <c r="W11" s="73" t="s">
        <v>48</v>
      </c>
      <c r="X11" s="73" t="s">
        <v>49</v>
      </c>
      <c r="Y11" s="73" t="s">
        <v>25</v>
      </c>
      <c r="Z11" s="73" t="s">
        <v>26</v>
      </c>
      <c r="AA11" s="73" t="s">
        <v>27</v>
      </c>
    </row>
    <row r="12" spans="1:27" ht="15" customHeight="1">
      <c r="B12" s="67"/>
      <c r="C12" s="81"/>
      <c r="D12" s="81"/>
      <c r="E12" s="68"/>
      <c r="F12" s="77"/>
      <c r="G12" s="77"/>
      <c r="H12" s="77"/>
      <c r="I12" s="69"/>
      <c r="J12" s="69"/>
      <c r="K12" s="69"/>
      <c r="L12" s="70"/>
      <c r="M12" s="69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"/>
  <sheetViews>
    <sheetView topLeftCell="A2" zoomScale="85" zoomScaleNormal="85" workbookViewId="0">
      <selection activeCell="E9" sqref="E9"/>
    </sheetView>
  </sheetViews>
  <sheetFormatPr defaultColWidth="8.88671875" defaultRowHeight="15" customHeight="1"/>
  <cols>
    <col min="1" max="2" width="2.6640625" style="12" customWidth="1"/>
    <col min="3" max="5" width="12.6640625" style="12" customWidth="1"/>
    <col min="6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50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Name</v>
      </c>
      <c r="P3" s="11"/>
    </row>
    <row r="4" spans="1:17" ht="10.199999999999999" customHeight="1">
      <c r="D4" s="16"/>
    </row>
    <row r="5" spans="1:17" ht="30" customHeight="1"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</row>
    <row r="8" spans="1:17" ht="15" customHeight="1">
      <c r="C8" s="17"/>
    </row>
    <row r="9" spans="1:17" ht="36.6" customHeight="1">
      <c r="C9" s="36" t="s">
        <v>50</v>
      </c>
      <c r="D9" s="38" t="s">
        <v>51</v>
      </c>
      <c r="E9" s="36" t="s">
        <v>55</v>
      </c>
    </row>
    <row r="10" spans="1:17" ht="15" customHeight="1">
      <c r="C10" s="37"/>
      <c r="D10" s="75"/>
      <c r="E10" s="76"/>
    </row>
  </sheetData>
  <conditionalFormatting pivot="1" sqref="C1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D1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50" customWidth="1"/>
    <col min="2" max="2" width="2.77734375" style="50" customWidth="1"/>
    <col min="3" max="4" width="25.77734375" style="100" customWidth="1"/>
    <col min="5" max="11" width="20.77734375" style="100" customWidth="1"/>
    <col min="12" max="84" width="24.88671875" style="50" customWidth="1"/>
    <col min="85" max="16384" width="8.88671875" style="50"/>
  </cols>
  <sheetData>
    <row r="3" spans="2:12" ht="30" customHeight="1">
      <c r="B3" s="31" t="s">
        <v>61</v>
      </c>
      <c r="D3" s="101"/>
      <c r="J3" s="149" t="e" vm="1">
        <v>#VALUE!</v>
      </c>
    </row>
    <row r="4" spans="2:12" ht="15" customHeight="1">
      <c r="J4" s="149"/>
    </row>
    <row r="5" spans="2:12" ht="30" customHeight="1">
      <c r="B5" s="148" t="s">
        <v>1</v>
      </c>
      <c r="C5" s="102" t="s">
        <v>62</v>
      </c>
      <c r="D5" s="101"/>
    </row>
    <row r="6" spans="2:12" ht="10.050000000000001" hidden="1" customHeight="1">
      <c r="B6" s="1"/>
      <c r="C6" s="101"/>
      <c r="D6" s="101"/>
    </row>
    <row r="7" spans="2:12" ht="15.6" hidden="1" outlineLevel="1">
      <c r="C7" s="103" t="s">
        <v>63</v>
      </c>
      <c r="F7" s="104" t="s">
        <v>64</v>
      </c>
      <c r="I7" s="104" t="s">
        <v>65</v>
      </c>
    </row>
    <row r="8" spans="2:12" ht="15" hidden="1" customHeight="1" outlineLevel="1">
      <c r="L8" s="90"/>
    </row>
    <row r="9" spans="2:12" ht="30" hidden="1" customHeight="1" outlineLevel="1">
      <c r="C9" s="105" t="s">
        <v>66</v>
      </c>
      <c r="D9" s="106" t="s">
        <v>67</v>
      </c>
      <c r="F9" s="125" t="s">
        <v>88</v>
      </c>
      <c r="G9" s="135" t="s">
        <v>67</v>
      </c>
      <c r="I9" s="125" t="s">
        <v>89</v>
      </c>
      <c r="J9" s="127" t="s">
        <v>90</v>
      </c>
      <c r="L9" s="90"/>
    </row>
    <row r="10" spans="2:12" ht="15" hidden="1" customHeight="1" outlineLevel="1">
      <c r="C10" s="107"/>
      <c r="D10" s="108"/>
      <c r="F10" s="123"/>
      <c r="G10" s="136"/>
      <c r="I10" s="128"/>
      <c r="J10" s="129"/>
      <c r="L10" s="91"/>
    </row>
    <row r="11" spans="2:12" ht="15" hidden="1" customHeight="1" outlineLevel="1">
      <c r="C11" s="107"/>
      <c r="D11" s="108"/>
      <c r="F11" s="124"/>
      <c r="G11" s="137"/>
      <c r="I11" s="128"/>
      <c r="J11" s="129"/>
    </row>
    <row r="12" spans="2:12" ht="15" hidden="1" customHeight="1" outlineLevel="1">
      <c r="C12" s="107"/>
      <c r="D12" s="108"/>
      <c r="F12"/>
      <c r="G12"/>
      <c r="H12"/>
      <c r="I12"/>
      <c r="J12"/>
      <c r="K12"/>
    </row>
    <row r="13" spans="2:12" ht="15" hidden="1" customHeight="1" outlineLevel="1">
      <c r="C13" s="107"/>
      <c r="D13" s="108"/>
      <c r="F13"/>
      <c r="G13"/>
      <c r="H13"/>
      <c r="I13"/>
      <c r="J13"/>
      <c r="K13"/>
    </row>
    <row r="14" spans="2:12" ht="15" hidden="1" customHeight="1" outlineLevel="1">
      <c r="C14" s="107"/>
      <c r="D14" s="108"/>
      <c r="F14"/>
      <c r="G14"/>
      <c r="H14"/>
      <c r="I14"/>
      <c r="J14"/>
      <c r="K14"/>
    </row>
    <row r="15" spans="2:12" ht="15" hidden="1" customHeight="1" outlineLevel="1">
      <c r="C15" s="107"/>
      <c r="D15" s="108"/>
      <c r="F15"/>
      <c r="G15"/>
      <c r="H15"/>
      <c r="I15"/>
      <c r="J15"/>
      <c r="K15"/>
    </row>
    <row r="16" spans="2:12" ht="15" hidden="1" customHeight="1" outlineLevel="1">
      <c r="C16" s="107"/>
      <c r="D16" s="108"/>
      <c r="F16"/>
      <c r="G16"/>
      <c r="H16"/>
      <c r="I16"/>
      <c r="J16"/>
      <c r="K16"/>
    </row>
    <row r="17" spans="2:25" ht="15" hidden="1" customHeight="1" outlineLevel="1">
      <c r="C17" s="107"/>
      <c r="D17" s="108"/>
      <c r="F17"/>
      <c r="G17"/>
      <c r="H17"/>
      <c r="I17"/>
      <c r="J17"/>
      <c r="K17"/>
    </row>
    <row r="18" spans="2:25" ht="15" hidden="1" customHeight="1" outlineLevel="1">
      <c r="C18" s="107"/>
      <c r="D18" s="108"/>
      <c r="F18"/>
      <c r="G18"/>
      <c r="H18"/>
      <c r="I18"/>
      <c r="J18"/>
      <c r="K18"/>
    </row>
    <row r="19" spans="2:25" ht="15" hidden="1" customHeight="1" outlineLevel="1">
      <c r="C19" s="107"/>
      <c r="D19" s="108"/>
      <c r="F19"/>
      <c r="G19"/>
      <c r="H19"/>
      <c r="I19"/>
      <c r="J19"/>
      <c r="K19"/>
    </row>
    <row r="20" spans="2:25" ht="15" hidden="1" customHeight="1" outlineLevel="1">
      <c r="B20" s="92"/>
      <c r="C20" s="107"/>
      <c r="D20" s="108"/>
      <c r="F20"/>
      <c r="G20"/>
      <c r="H20"/>
      <c r="I20"/>
      <c r="J20"/>
      <c r="K20"/>
    </row>
    <row r="21" spans="2:25" ht="15" hidden="1" customHeight="1" outlineLevel="1">
      <c r="C21" s="107"/>
      <c r="D21" s="108"/>
      <c r="F21"/>
      <c r="G21"/>
      <c r="H21"/>
      <c r="I21"/>
      <c r="J21"/>
      <c r="K21"/>
    </row>
    <row r="22" spans="2:25" ht="15" hidden="1" customHeight="1" outlineLevel="1">
      <c r="C22" s="107"/>
      <c r="D22" s="108"/>
      <c r="F22"/>
      <c r="G22"/>
      <c r="H22"/>
      <c r="I22"/>
      <c r="J22"/>
      <c r="K22"/>
    </row>
    <row r="23" spans="2:25" ht="15" hidden="1" customHeight="1" outlineLevel="1">
      <c r="C23" s="107"/>
      <c r="D23" s="108"/>
      <c r="F23"/>
      <c r="G23"/>
      <c r="H23"/>
      <c r="I23"/>
      <c r="J23"/>
    </row>
    <row r="24" spans="2:25" ht="15" hidden="1" customHeight="1" outlineLevel="1">
      <c r="C24" s="138"/>
      <c r="D24" s="139"/>
      <c r="F24" s="50"/>
      <c r="G24" s="50"/>
      <c r="H24" s="50"/>
      <c r="I24" s="50"/>
      <c r="J24" s="50"/>
    </row>
    <row r="25" spans="2:25" ht="30" hidden="1" customHeight="1" outlineLevel="1">
      <c r="B25" s="93"/>
      <c r="C25" s="109"/>
      <c r="E25" s="109"/>
      <c r="F25"/>
      <c r="G25"/>
      <c r="H25"/>
      <c r="I25"/>
      <c r="J25"/>
    </row>
    <row r="26" spans="2:25" ht="21" collapsed="1">
      <c r="C26" s="111" t="s">
        <v>68</v>
      </c>
      <c r="W26" s="92"/>
    </row>
    <row r="27" spans="2:25" ht="15" customHeight="1">
      <c r="B27" s="95"/>
      <c r="Y27" s="90"/>
    </row>
    <row r="28" spans="2:25" ht="15" customHeight="1">
      <c r="C28" s="112" t="s">
        <v>69</v>
      </c>
      <c r="D28" s="97"/>
      <c r="E28" s="110"/>
      <c r="W28" s="95"/>
      <c r="Y28" s="90"/>
    </row>
    <row r="29" spans="2:25" ht="15" customHeight="1">
      <c r="C29" s="112" t="s">
        <v>70</v>
      </c>
      <c r="D29" s="97"/>
      <c r="E29" s="110"/>
      <c r="X29" s="96"/>
      <c r="Y29" s="91"/>
    </row>
    <row r="30" spans="2:25" ht="15" customHeight="1">
      <c r="C30" s="112" t="s">
        <v>71</v>
      </c>
      <c r="D30" s="98"/>
      <c r="E30" s="110"/>
      <c r="X30" s="96"/>
    </row>
    <row r="31" spans="2:25" ht="15" customHeight="1">
      <c r="C31" s="112" t="s">
        <v>72</v>
      </c>
      <c r="D31" s="98"/>
      <c r="E31" s="110"/>
      <c r="K31" s="113"/>
      <c r="X31" s="96"/>
    </row>
    <row r="32" spans="2:25" ht="15" customHeight="1">
      <c r="C32" s="112" t="s">
        <v>73</v>
      </c>
      <c r="D32" s="99"/>
      <c r="E32" s="110"/>
      <c r="K32" s="113"/>
      <c r="X32" s="96"/>
    </row>
    <row r="33" spans="2:24" ht="15" customHeight="1">
      <c r="X33" s="96"/>
    </row>
    <row r="34" spans="2:24" ht="27" customHeight="1">
      <c r="B34" s="94"/>
      <c r="C34" s="114" t="s">
        <v>74</v>
      </c>
      <c r="D34" s="115" t="s">
        <v>75</v>
      </c>
      <c r="E34" s="116" t="s">
        <v>76</v>
      </c>
      <c r="K34" s="113"/>
    </row>
    <row r="35" spans="2:24" ht="15" customHeight="1">
      <c r="C35" s="117" t="s">
        <v>77</v>
      </c>
      <c r="D35" s="142"/>
      <c r="E35" s="140"/>
    </row>
    <row r="36" spans="2:24" ht="15" customHeight="1">
      <c r="C36" s="117" t="s">
        <v>78</v>
      </c>
      <c r="D36" s="142"/>
      <c r="E36" s="140"/>
      <c r="K36" s="113"/>
    </row>
    <row r="37" spans="2:24" ht="15" customHeight="1">
      <c r="C37" s="117" t="s">
        <v>79</v>
      </c>
      <c r="D37" s="142"/>
      <c r="E37" s="140"/>
      <c r="K37" s="113"/>
    </row>
    <row r="38" spans="2:24" ht="15" customHeight="1">
      <c r="C38" s="117" t="s">
        <v>80</v>
      </c>
      <c r="D38" s="142"/>
      <c r="E38" s="140"/>
      <c r="K38" s="113"/>
    </row>
    <row r="39" spans="2:24" ht="15" customHeight="1">
      <c r="C39" s="117" t="s">
        <v>81</v>
      </c>
      <c r="D39" s="142"/>
      <c r="E39" s="140"/>
      <c r="N39" s="92"/>
    </row>
    <row r="40" spans="2:24" ht="15" customHeight="1">
      <c r="C40" s="117" t="s">
        <v>82</v>
      </c>
      <c r="D40" s="142"/>
      <c r="E40" s="140"/>
    </row>
    <row r="41" spans="2:24" ht="15" customHeight="1">
      <c r="C41" s="118" t="s">
        <v>83</v>
      </c>
      <c r="D41" s="143"/>
      <c r="E41" s="141"/>
    </row>
    <row r="42" spans="2:24" ht="15" customHeight="1">
      <c r="C42" s="145"/>
      <c r="D42" s="146"/>
      <c r="E42" s="147"/>
    </row>
    <row r="43" spans="2:24" ht="15" customHeight="1"/>
    <row r="44" spans="2:24" ht="15" customHeight="1"/>
    <row r="45" spans="2:24" ht="27" customHeight="1">
      <c r="C45" s="132" t="s">
        <v>84</v>
      </c>
      <c r="D45" s="133" t="s">
        <v>42</v>
      </c>
      <c r="E45" s="133" t="s">
        <v>85</v>
      </c>
      <c r="F45" s="134" t="s">
        <v>86</v>
      </c>
      <c r="G45" s="119" t="s">
        <v>7</v>
      </c>
      <c r="H45" s="119" t="s">
        <v>56</v>
      </c>
      <c r="I45" s="119" t="s">
        <v>73</v>
      </c>
      <c r="J45" s="120" t="s">
        <v>87</v>
      </c>
    </row>
    <row r="46" spans="2:24" ht="15" customHeight="1">
      <c r="C46" s="130"/>
      <c r="D46" s="131"/>
      <c r="E46" s="131"/>
      <c r="F46" s="126"/>
      <c r="G46" s="122"/>
      <c r="H46" s="121"/>
      <c r="I46" s="144"/>
      <c r="J46" s="140"/>
    </row>
    <row r="47" spans="2:24" ht="15" customHeight="1">
      <c r="C47" s="130"/>
      <c r="D47" s="131"/>
      <c r="E47" s="131"/>
      <c r="F47" s="126"/>
      <c r="G47" s="122"/>
      <c r="H47" s="121"/>
      <c r="I47" s="144"/>
      <c r="J47" s="140"/>
    </row>
    <row r="48" spans="2:24" ht="15" customHeight="1">
      <c r="C48" s="130"/>
      <c r="D48" s="131"/>
      <c r="E48" s="131"/>
      <c r="F48" s="126"/>
      <c r="G48" s="122"/>
      <c r="H48" s="121"/>
      <c r="I48" s="144"/>
      <c r="J48" s="140"/>
    </row>
    <row r="49" spans="1:11" ht="15" customHeight="1">
      <c r="A49"/>
      <c r="B49"/>
      <c r="C49"/>
      <c r="D49"/>
      <c r="E49"/>
      <c r="F49"/>
      <c r="G49"/>
      <c r="H49"/>
      <c r="I49"/>
      <c r="J49"/>
      <c r="K49"/>
    </row>
    <row r="50" spans="1:11" ht="15" customHeight="1">
      <c r="A50"/>
      <c r="B50"/>
      <c r="C50"/>
      <c r="D50"/>
      <c r="E50"/>
      <c r="F50"/>
      <c r="G50"/>
      <c r="H50"/>
      <c r="I50"/>
      <c r="J50"/>
      <c r="K50"/>
    </row>
    <row r="51" spans="1:11" ht="15" customHeight="1">
      <c r="A51"/>
      <c r="B51"/>
      <c r="C51"/>
      <c r="D51"/>
      <c r="E51"/>
      <c r="F51"/>
      <c r="G51"/>
      <c r="H51"/>
      <c r="I51"/>
      <c r="J51"/>
      <c r="K51"/>
    </row>
    <row r="52" spans="1:11" ht="15" customHeight="1">
      <c r="A52"/>
      <c r="B52"/>
      <c r="C52"/>
      <c r="D52"/>
      <c r="E52"/>
      <c r="F52"/>
      <c r="G52"/>
      <c r="H52"/>
      <c r="I52"/>
      <c r="J52"/>
      <c r="K52"/>
    </row>
    <row r="53" spans="1:11" ht="15" customHeight="1">
      <c r="A53"/>
      <c r="B53"/>
      <c r="C53"/>
      <c r="D53"/>
      <c r="E53"/>
      <c r="F53"/>
      <c r="G53"/>
      <c r="H53"/>
      <c r="I53"/>
      <c r="J53"/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4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50" customWidth="1"/>
    <col min="2" max="2" width="2.6640625" style="51" customWidth="1"/>
    <col min="3" max="3" width="78.6640625" style="56" customWidth="1"/>
    <col min="4" max="4" width="31.88671875" style="50" customWidth="1"/>
    <col min="5" max="16384" width="8.88671875" style="50"/>
  </cols>
  <sheetData>
    <row r="2" spans="2:16" ht="43.2" customHeight="1">
      <c r="C2" s="49" t="s">
        <v>53</v>
      </c>
      <c r="P2"/>
    </row>
    <row r="3" spans="2:16" ht="4.95" customHeight="1">
      <c r="B3" s="50"/>
      <c r="C3" s="52"/>
      <c r="P3" s="53"/>
    </row>
    <row r="4" spans="2:16" ht="19.95" customHeight="1">
      <c r="B4" s="50"/>
      <c r="C4" s="52"/>
      <c r="P4" s="54"/>
    </row>
    <row r="5" spans="2:16" ht="4.95" customHeight="1">
      <c r="B5" s="50"/>
      <c r="C5" s="52"/>
    </row>
    <row r="6" spans="2:16" ht="34.950000000000003" customHeight="1">
      <c r="B6" s="63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</row>
    <row r="7" spans="2:16" ht="15" customHeight="1">
      <c r="B7" s="50"/>
      <c r="C7" s="50"/>
    </row>
    <row r="8" spans="2:16" ht="15" customHeight="1">
      <c r="C8" s="55"/>
    </row>
    <row r="9" spans="2:16" ht="19.2" customHeight="1">
      <c r="B9" s="50"/>
      <c r="C9" s="52"/>
    </row>
    <row r="16" spans="2:16">
      <c r="C16" s="50"/>
    </row>
    <row r="17" spans="2:2" s="50" customFormat="1">
      <c r="B17" s="5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50" customWidth="1"/>
    <col min="2" max="2" width="2.6640625" style="51" customWidth="1"/>
    <col min="3" max="3" width="53.33203125" style="56" customWidth="1"/>
    <col min="4" max="4" width="27.6640625" style="50" customWidth="1"/>
    <col min="5" max="16" width="8.88671875" style="50"/>
  </cols>
  <sheetData>
    <row r="2" spans="1:16" ht="51.6" customHeight="1">
      <c r="B2" s="57"/>
      <c r="C2" s="49" t="s">
        <v>54</v>
      </c>
      <c r="D2"/>
      <c r="P2"/>
    </row>
    <row r="3" spans="1:16" ht="4.95" customHeight="1">
      <c r="B3" s="57"/>
      <c r="C3" s="58"/>
      <c r="D3" s="59"/>
      <c r="P3" s="53"/>
    </row>
    <row r="4" spans="1:16" ht="19.95" customHeight="1">
      <c r="B4" s="57"/>
      <c r="C4" s="58"/>
      <c r="D4" s="59"/>
      <c r="P4" s="54"/>
    </row>
    <row r="5" spans="1:16" ht="4.95" customHeight="1">
      <c r="B5" s="50"/>
      <c r="C5" s="52"/>
    </row>
    <row r="6" spans="1:16" ht="30" customHeight="1">
      <c r="A6"/>
      <c r="B6" s="63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</row>
    <row r="7" spans="1:16" ht="10.199999999999999" customHeight="1">
      <c r="B7" s="50"/>
      <c r="C7" s="52"/>
    </row>
    <row r="8" spans="1:16" ht="10.199999999999999" customHeight="1">
      <c r="B8" s="53"/>
      <c r="D8" s="56"/>
    </row>
    <row r="9" spans="1:16" ht="150" customHeight="1">
      <c r="B9" s="60"/>
      <c r="C9" s="61"/>
    </row>
    <row r="10" spans="1:16" ht="10.199999999999999" customHeight="1">
      <c r="B10" s="62"/>
    </row>
    <row r="11" spans="1:16" collapsed="1"/>
    <row r="13" spans="1:16">
      <c r="C13" s="50"/>
    </row>
    <row r="14" spans="1:16">
      <c r="C14" s="50"/>
    </row>
    <row r="15" spans="1:16">
      <c r="C15" s="50"/>
    </row>
    <row r="16" spans="1:16">
      <c r="C16" s="50"/>
    </row>
    <row r="19" spans="3:3">
      <c r="C19" s="50"/>
    </row>
    <row r="20" spans="3:3">
      <c r="C20" s="5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2026-06-07T00:54:09Z</dcterms:modified>
</cp:coreProperties>
</file>